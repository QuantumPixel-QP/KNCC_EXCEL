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xmlns:r="http://schemas.openxmlformats.org/officeDocument/2006/relationships" name="VPO's" sheetId="1" state="visible" r:id="rId1"/>
    <sheet xmlns:r="http://schemas.openxmlformats.org/officeDocument/2006/relationships" name="Cobia Cove Appartments" sheetId="2" state="visible" r:id="rId2"/>
    <sheet xmlns:r="http://schemas.openxmlformats.org/officeDocument/2006/relationships" name="Willow Way Apt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InwardEntry">#REF!</definedName>
    <definedName name="IssueEntry">#REF!</definedName>
    <definedName name="Location">#REF!</definedName>
    <definedName name="Lumber">#REF!</definedName>
    <definedName name="Plywood">#REF!</definedName>
    <definedName name="Select">#REF!</definedName>
    <definedName name="Supplier">#REF!</definedName>
    <definedName name="Vendors">#REF!</definedName>
    <definedName name="InwardEntry" localSheetId="0">#REF!</definedName>
    <definedName name="IssueEntry" localSheetId="0">#REF!</definedName>
    <definedName name="Location" localSheetId="0">#REF!</definedName>
    <definedName name="Lumber" localSheetId="0">#REF!</definedName>
    <definedName name="Plywood" localSheetId="0">#REF!</definedName>
    <definedName name="Select" localSheetId="0">#REF!</definedName>
    <definedName name="Supplier" localSheetId="0">#REF!</definedName>
    <definedName name="Vendors" localSheetId="0">#REF!</definedName>
    <definedName name="_xlnm._FilterDatabase" localSheetId="0" hidden="1">'VPO''s'!$A$39:$K$116</definedName>
    <definedName name="InwardEntry" localSheetId="1">#REF!</definedName>
    <definedName name="IssueEntry" localSheetId="1">#REF!</definedName>
    <definedName name="Location" localSheetId="1">#REF!</definedName>
    <definedName name="Lumber" localSheetId="1">#REF!</definedName>
    <definedName name="Plywood" localSheetId="1">#REF!</definedName>
    <definedName name="Select" localSheetId="1">#REF!</definedName>
    <definedName name="Supplier" localSheetId="1">#REF!</definedName>
    <definedName name="Vendors" localSheetId="1">#REF!</definedName>
    <definedName name="_xlnm._FilterDatabase" localSheetId="1" hidden="1">'Cobia Cove Appartments'!$A$2:$EN$2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[$$-409]* #,##0.0_);_([$$-409]* \(#,##0.0\);_([$$-409]* &quot;-&quot;??_);_(@_)"/>
    <numFmt numFmtId="165" formatCode="_([$$-409]* #,##0.00_);_([$$-409]* \(#,##0.00\);_([$$-409]* &quot;-&quot;??_);_(@_)"/>
    <numFmt numFmtId="166" formatCode="_([$$-409]* #,##0.000_);_([$$-409]* \(#,##0.000\);_([$$-409]* &quot;-&quot;???_);_(@_)"/>
    <numFmt numFmtId="167" formatCode="0.00000"/>
    <numFmt numFmtId="168" formatCode="_([$$-409]* #,##0.0000000_);_([$$-409]* \(#,##0.0000000\);_([$$-409]* &quot;-&quot;??_);_(@_)"/>
    <numFmt numFmtId="169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olor theme="1"/>
      <sz val="10"/>
    </font>
    <font>
      <name val="Times New Roman"/>
      <color rgb="FFFF0000"/>
      <sz val="9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b val="1"/>
      <color theme="1"/>
      <sz val="10"/>
    </font>
    <font>
      <name val="Times New Roman"/>
      <sz val="9"/>
    </font>
    <font>
      <name val="Times New Roman"/>
      <color rgb="FF000000"/>
      <sz val="9"/>
    </font>
    <font>
      <name val="Times New Roman"/>
      <b val="1"/>
      <color theme="1"/>
      <sz val="18"/>
    </font>
    <font>
      <name val="Times New Roman"/>
      <color rgb="FF000000"/>
      <sz val="10"/>
    </font>
    <font>
      <name val="Times New Roman"/>
      <sz val="10"/>
    </font>
    <font>
      <name val="Times New Roman"/>
      <b val="1"/>
      <color rgb="FF000000"/>
      <sz val="9"/>
    </font>
    <font>
      <name val="Times New Roman"/>
      <b val="1"/>
      <sz val="9"/>
    </font>
  </fonts>
  <fills count="19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F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AF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1" fillId="0" borderId="0"/>
    <xf numFmtId="169" fontId="1" fillId="0" borderId="0"/>
  </cellStyleXfs>
  <cellXfs count="385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7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9" fontId="5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9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9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4" fontId="6" fillId="0" borderId="20" applyAlignment="1" pivotButton="0" quotePrefix="0" xfId="0">
      <alignment horizontal="center" vertical="center"/>
    </xf>
    <xf numFmtId="14" fontId="6" fillId="0" borderId="24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11" fontId="5" fillId="0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9" fontId="5" fillId="18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5" fontId="5" fillId="18" borderId="2" applyAlignment="1" pivotButton="0" quotePrefix="0" xfId="0">
      <alignment horizontal="center" vertical="center"/>
    </xf>
    <xf numFmtId="1" fontId="5" fillId="18" borderId="2" applyAlignment="1" pivotButton="0" quotePrefix="0" xfId="0">
      <alignment horizontal="center" vertical="center"/>
    </xf>
    <xf numFmtId="165" fontId="9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9" fontId="3" fillId="6" borderId="0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165" fontId="5" fillId="18" borderId="7" applyAlignment="1" pivotButton="0" quotePrefix="0" xfId="0">
      <alignment horizontal="center" vertical="center"/>
    </xf>
    <xf numFmtId="165" fontId="5" fillId="18" borderId="3" applyAlignment="1" pivotButton="0" quotePrefix="0" xfId="0">
      <alignment horizontal="center" vertical="center"/>
    </xf>
    <xf numFmtId="165" fontId="5" fillId="18" borderId="9" applyAlignment="1" pivotButton="0" quotePrefix="0" xfId="0">
      <alignment horizontal="center" vertical="center"/>
    </xf>
    <xf numFmtId="165" fontId="5" fillId="18" borderId="5" applyAlignment="1" pivotButton="0" quotePrefix="0" xfId="0">
      <alignment horizontal="center" vertical="center"/>
    </xf>
    <xf numFmtId="9" fontId="5" fillId="0" borderId="20" applyAlignment="1" pivotButton="0" quotePrefix="0" xfId="0">
      <alignment horizontal="center" vertical="center"/>
    </xf>
    <xf numFmtId="165" fontId="5" fillId="0" borderId="2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14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165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4" fontId="0" fillId="6" borderId="2" applyAlignment="1" pivotButton="0" quotePrefix="0" xfId="0">
      <alignment horizontal="center" vertic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5" fontId="0" fillId="0" borderId="2" pivotButton="0" quotePrefix="0" xfId="0"/>
    <xf numFmtId="0" fontId="0" fillId="6" borderId="2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165" fontId="0" fillId="0" borderId="5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6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0" fontId="0" fillId="0" borderId="20" pivotButton="0" quotePrefix="0" xfId="0"/>
    <xf numFmtId="165" fontId="0" fillId="0" borderId="1" pivotButton="0" quotePrefix="0" xfId="0"/>
    <xf numFmtId="14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65" fontId="0" fillId="6" borderId="0" pivotButton="0" quotePrefix="0" xfId="0"/>
    <xf numFmtId="0" fontId="0" fillId="18" borderId="5" applyAlignment="1" pivotButton="0" quotePrefix="0" xfId="0">
      <alignment horizontal="center" vertical="center" wrapText="1"/>
    </xf>
    <xf numFmtId="14" fontId="0" fillId="6" borderId="7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0" fillId="0" borderId="5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 indent="1"/>
    </xf>
    <xf numFmtId="0" fontId="0" fillId="0" borderId="20" applyAlignment="1" pivotButton="0" quotePrefix="0" xfId="0">
      <alignment horizontal="center" vertical="center" wrapText="1" indent="1"/>
    </xf>
    <xf numFmtId="14" fontId="0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18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0" fontId="0" fillId="6" borderId="21" applyAlignment="1" pivotButton="0" quotePrefix="0" xfId="0">
      <alignment horizontal="center" vertical="center"/>
    </xf>
    <xf numFmtId="14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8" borderId="5" applyAlignment="1" pivotButton="0" quotePrefix="0" xfId="0">
      <alignment horizontal="center" vertical="center" wrapText="1"/>
    </xf>
    <xf numFmtId="0" fontId="0" fillId="18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 indent="1"/>
    </xf>
    <xf numFmtId="0" fontId="0" fillId="6" borderId="7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 inden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 wrapText="1"/>
    </xf>
    <xf numFmtId="0" fontId="14" fillId="10" borderId="22" applyAlignment="1" pivotButton="0" quotePrefix="0" xfId="0">
      <alignment horizontal="center" vertical="center" wrapText="1"/>
    </xf>
    <xf numFmtId="0" fontId="13" fillId="11" borderId="22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165" fontId="13" fillId="13" borderId="22" applyAlignment="1" pivotButton="0" quotePrefix="0" xfId="0">
      <alignment horizontal="center" vertical="center"/>
    </xf>
    <xf numFmtId="164" fontId="13" fillId="13" borderId="22" applyAlignment="1" pivotButton="0" quotePrefix="0" xfId="0">
      <alignment horizontal="center" vertical="center"/>
    </xf>
    <xf numFmtId="9" fontId="13" fillId="13" borderId="2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center" vertical="center" wrapText="1"/>
    </xf>
    <xf numFmtId="165" fontId="14" fillId="15" borderId="5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5" borderId="5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 wrapText="1"/>
    </xf>
    <xf numFmtId="0" fontId="13" fillId="15" borderId="5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165" fontId="0" fillId="18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 indent="1"/>
    </xf>
    <xf numFmtId="165" fontId="0" fillId="0" borderId="2" applyAlignment="1" pivotButton="0" quotePrefix="0" xfId="0">
      <alignment horizontal="center"/>
    </xf>
    <xf numFmtId="0" fontId="0" fillId="18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8" pivotButton="0" quotePrefix="0" xfId="0"/>
    <xf numFmtId="0" fontId="0" fillId="0" borderId="27" pivotButton="0" quotePrefix="0" xfId="0"/>
    <xf numFmtId="0" fontId="10" fillId="3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7" pivotButton="0" quotePrefix="0" xfId="0"/>
    <xf numFmtId="0" fontId="10" fillId="3" borderId="2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</cellXfs>
  <cellStyles count="2">
    <cellStyle name="Normal" xfId="0" builtinId="0"/>
    <cellStyle name="Currenc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Rohith | Capsol</author>
    <author>Invoices</author>
  </authors>
  <commentList>
    <comment ref="D1" authorId="0" shapeId="0">
      <text>
        <t>Rohith | Capsol:
Mockupwall</t>
      </text>
    </comment>
    <comment ref="BI3" authorId="0" shapeId="0">
      <text>
        <t xml:space="preserve">Rohith | Capsol:
68981028 : 400 of 416
</t>
      </text>
    </comment>
    <comment ref="BL3" authorId="0" shapeId="0">
      <text>
        <t>Rohith | Capsol:
68981040 : 416</t>
      </text>
    </comment>
    <comment ref="BQ3" authorId="0" shapeId="0">
      <text>
        <t>Rohith | Capsol:
68981055 : 416</t>
      </text>
    </comment>
    <comment ref="BK4" authorId="0" shapeId="0">
      <text>
        <t>Rohith | Capsol:
68981035 : 1536</t>
      </text>
    </comment>
    <comment ref="BL4" authorId="0" shapeId="0">
      <text>
        <t>Rohith | Capsol:
68981032 : 1280</t>
      </text>
    </comment>
    <comment ref="BQ4" authorId="0" shapeId="0">
      <text>
        <t xml:space="preserve">Rohith | Capsol:
68981055 : 1152
</t>
      </text>
    </comment>
    <comment ref="CI4" authorId="0" shapeId="0">
      <text>
        <t>Rohith | Capsol:
68981124: 1536</t>
      </text>
    </comment>
    <comment ref="CJ4" authorId="0" shapeId="0">
      <text>
        <t>Rohith | Capsol:
68981123: 1024</t>
      </text>
    </comment>
    <comment ref="CL4" authorId="0" shapeId="0">
      <text>
        <t xml:space="preserve">Rohith | Capsol:
68981130: 1280
</t>
      </text>
    </comment>
    <comment ref="DF4" authorId="0" shapeId="0">
      <text>
        <t xml:space="preserve">Rohith | Capsol:
68981167 : 1151
</t>
      </text>
    </comment>
    <comment ref="BI5" authorId="0" shapeId="0">
      <text>
        <t xml:space="preserve">Rohith | Capsol:
68981028 : 590 OF 640
</t>
      </text>
    </comment>
    <comment ref="BC6" authorId="0" shapeId="0">
      <text>
        <t>Rohith | Capsol:
68981005 : 5</t>
      </text>
    </comment>
    <comment ref="BI8" authorId="0" shapeId="0">
      <text>
        <t>Rohith | Capsol:
68981028 : 81 of 96</t>
      </text>
    </comment>
    <comment ref="BO8" authorId="0" shapeId="0">
      <text>
        <t>Rohith | Capsol:
68981040 : 288</t>
      </text>
    </comment>
    <comment ref="BM9" authorId="0" shapeId="0">
      <text>
        <t>Rohith | Capsol:
68981038 : 1117</t>
      </text>
    </comment>
    <comment ref="CK9" authorId="0" shapeId="0">
      <text>
        <t>Rohith | Capsol:
68981125: 640</t>
      </text>
    </comment>
    <comment ref="CM9" authorId="0" shapeId="0">
      <text>
        <t>Rohith | Capsol:
68981134: 320 and 480</t>
      </text>
    </comment>
    <comment ref="CN9" authorId="0" shapeId="0">
      <text>
        <t>Rohith | Capsol:
68981135: 160 and 160</t>
      </text>
    </comment>
    <comment ref="CO9" authorId="0" shapeId="0">
      <text>
        <t>Rohith | Capsol:
68981142: 480*8</t>
      </text>
    </comment>
    <comment ref="BI10" authorId="0" shapeId="0">
      <text>
        <t xml:space="preserve">Rohith | Capsol:
68981028 : 600
</t>
      </text>
    </comment>
    <comment ref="BO10" authorId="0" shapeId="0">
      <text>
        <t>Rohith | Capsol:
68981040 : 19 and 221</t>
      </text>
    </comment>
    <comment ref="CA11" authorId="0" shapeId="0">
      <text>
        <t>Rohith | Capsol:
68981100 : 26
SHIPPING AS 20' BECAUSE THAT'S WHAT IS STOCKED BUT ONLY CHARGING ON THE 18'PRICE</t>
      </text>
    </comment>
    <comment ref="CJ11" authorId="0" shapeId="0">
      <text>
        <t>Rohith | Capsol:
68981123: 28
68981123: 32</t>
      </text>
    </comment>
    <comment ref="CO11" authorId="0" shapeId="0">
      <text>
        <t>Rohith | Capsol:
68981142: 166</t>
      </text>
    </comment>
    <comment ref="BM12" authorId="0" shapeId="0">
      <text>
        <t>Rohith | Capsol:
68981045 : 253</t>
      </text>
    </comment>
    <comment ref="BP12" authorId="0" shapeId="0">
      <text>
        <t>Rohith | Capsol:
68981048 : 64</t>
      </text>
    </comment>
    <comment ref="BM13" authorId="0" shapeId="0">
      <text>
        <t>Rohith | Capsol:
68981045 : 346</t>
      </text>
    </comment>
    <comment ref="BP13" authorId="0" shapeId="0">
      <text>
        <t>Rohith | Capsol:
68981048 : 64</t>
      </text>
    </comment>
    <comment ref="BM15" authorId="0" shapeId="0">
      <text>
        <t>Rohith | Capsol:
68981047 : 256</t>
      </text>
    </comment>
    <comment ref="BO15" authorId="0" shapeId="0">
      <text>
        <t>Rohith | Capsol:
68981040 : 64</t>
      </text>
    </comment>
    <comment ref="BP15" authorId="0" shapeId="0">
      <text>
        <t>Rohith | Capsol:
68981048 : 448</t>
      </text>
    </comment>
    <comment ref="BI16" authorId="0" shapeId="0">
      <text>
        <t xml:space="preserve">Rohith | Capsol:
68981028 : 128
</t>
      </text>
    </comment>
    <comment ref="BM16" authorId="0" shapeId="0">
      <text>
        <t>Rohith | Capsol:
68981047 : 319</t>
      </text>
    </comment>
    <comment ref="CO16" authorId="0" shapeId="0">
      <text>
        <t>Rohith | Capsol:
68981142: 26</t>
      </text>
    </comment>
    <comment ref="CA21" authorId="0" shapeId="0">
      <text>
        <t>Rohith | Capsol:
68981049 : 5</t>
      </text>
    </comment>
    <comment ref="BX23" authorId="0" shapeId="0">
      <text>
        <t xml:space="preserve">Rohith | Capsol:
68981078 : 242
</t>
      </text>
    </comment>
    <comment ref="BJ24" authorId="0" shapeId="0">
      <text>
        <t>Rohith | Capsol:
68981029 : 1405 of 1456</t>
      </text>
    </comment>
    <comment ref="BV24" authorId="0" shapeId="0">
      <text>
        <t>Rohith | Capsol:
68981061 : 3536</t>
      </text>
    </comment>
    <comment ref="BX24" authorId="0" shapeId="0">
      <text>
        <t>Rohith | Capsol:
68981069: 2704</t>
      </text>
    </comment>
    <comment ref="CF24" authorId="0" shapeId="0">
      <text>
        <t>Rohith | Capsol:
68981112: 2704</t>
      </text>
    </comment>
    <comment ref="CH24" authorId="0" shapeId="0">
      <text>
        <t>Rohith | Capsol:
68981116: 3120
68981117: 3120</t>
      </text>
    </comment>
    <comment ref="CN24" authorId="0" shapeId="0">
      <text>
        <t>Rohith | Capsol:
68981120: 2704</t>
      </text>
    </comment>
    <comment ref="CV24" authorId="0" shapeId="0">
      <text>
        <t>Rohith | Capsol:
68981143: 2704</t>
      </text>
    </comment>
    <comment ref="DD24" authorId="0" shapeId="0">
      <text>
        <t>Rohith | Capsol:
68981144: 2912</t>
      </text>
    </comment>
    <comment ref="DI25" authorId="1" shapeId="0">
      <text>
        <t>Invoices:
68981157: 2600</t>
      </text>
    </comment>
    <comment ref="DN25" authorId="0" shapeId="0">
      <text>
        <t>Rohith | Capsol:
68981170: 2704</t>
      </text>
    </comment>
    <comment ref="BL26" authorId="0" shapeId="0">
      <text>
        <t>Rohith | Capsol:
68981030 : 1248</t>
      </text>
    </comment>
    <comment ref="CG26" authorId="0" shapeId="0">
      <text>
        <t>Rohith | Capsol:
68981113: 624</t>
      </text>
    </comment>
    <comment ref="BM27" authorId="0" shapeId="0">
      <text>
        <t>Rohith | Capsol:
68981034 : 3536</t>
      </text>
    </comment>
    <comment ref="BQ27" authorId="0" shapeId="0">
      <text>
        <t>Rohith | Capsol:
68981037:2,704</t>
      </text>
    </comment>
    <comment ref="BI28" authorId="0" shapeId="0">
      <text>
        <t>Rohith | Capsol:
68981024 : 1587 of  1664</t>
      </text>
    </comment>
    <comment ref="BM28" authorId="0" shapeId="0">
      <text>
        <t>Rohith | Capsol:
68981036 : 1664</t>
      </text>
    </comment>
    <comment ref="BO28" authorId="0" shapeId="0">
      <text>
        <t>Rohith | Capsol:
68981039 : 1792</t>
      </text>
    </comment>
    <comment ref="BP28" authorId="0" shapeId="0">
      <text>
        <t>Rohith | Capsol:
68981051 : 136 and 120</t>
      </text>
    </comment>
    <comment ref="BX28" authorId="0" shapeId="0">
      <text>
        <t>Rohith | Capsol:
68981071 : 1664
68981062: 1664</t>
      </text>
    </comment>
    <comment ref="CE28" authorId="0" shapeId="0">
      <text>
        <t>Rohith | Capsol:
68981070: 1664
68981081: 1362</t>
      </text>
    </comment>
    <comment ref="CF28" authorId="0" shapeId="0">
      <text>
        <t>Rohith | Capsol:
68981107: 1664</t>
      </text>
    </comment>
    <comment ref="CQ28" authorId="0" shapeId="0">
      <text>
        <t>Rohith | Capsol:
68981140: 1792</t>
      </text>
    </comment>
    <comment ref="CS28" authorId="0" shapeId="0">
      <text>
        <t>Rohith | Capsol:
68981141: 1792</t>
      </text>
    </comment>
    <comment ref="DC28" authorId="0" shapeId="0">
      <text>
        <t>Rohith | Capsol:
68981163: 1792</t>
      </text>
    </comment>
    <comment ref="CE30" authorId="0" shapeId="0">
      <text>
        <t>Rohith | Capsol:
68981081: 302</t>
      </text>
    </comment>
    <comment ref="BC31" authorId="0" shapeId="0">
      <text>
        <t>Rohith | Capsol:
68981005 : 41</t>
      </text>
    </comment>
    <comment ref="BJ32" authorId="0" shapeId="0">
      <text>
        <t>Rohith | Capsol:
68981029 : 256</t>
      </text>
    </comment>
    <comment ref="BH33" authorId="0" shapeId="0">
      <text>
        <t xml:space="preserve">Rohith | Capsol:
68981017:96
</t>
      </text>
    </comment>
    <comment ref="BQ33" authorId="0" shapeId="0">
      <text>
        <t xml:space="preserve">Rohith | Capsol:
68981042 : 57
</t>
      </text>
    </comment>
    <comment ref="BQ35" authorId="0" shapeId="0">
      <text>
        <t>Rohith | Capsol:
68981042 : 231</t>
      </text>
    </comment>
    <comment ref="BH36" authorId="0" shapeId="0">
      <text>
        <t xml:space="preserve">Rohith | Capsol:
68981017: 80 OF 160
</t>
      </text>
    </comment>
    <comment ref="CJ36" authorId="0" shapeId="0">
      <text>
        <t>Rohith | Capsol:
68981121 : 480</t>
      </text>
    </comment>
    <comment ref="DF36" authorId="1" shapeId="0">
      <text>
        <t>Invoices:
68981158: 160</t>
      </text>
    </comment>
    <comment ref="CU37" authorId="0" shapeId="0">
      <text>
        <t>Rohith | Capsol:
68981152: 320</t>
      </text>
    </comment>
    <comment ref="BI39" authorId="0" shapeId="0">
      <text>
        <t xml:space="preserve">Rohith | Capsol:
68981014:353 of 400
</t>
      </text>
    </comment>
    <comment ref="BJ39" authorId="0" shapeId="0">
      <text>
        <t>Rohith | Capsol:
68981029 : 160</t>
      </text>
    </comment>
    <comment ref="BP39" authorId="0" shapeId="0">
      <text>
        <t xml:space="preserve">Rohith | Capsol:
68981041 : 1120
</t>
      </text>
    </comment>
    <comment ref="BQ39" authorId="0" shapeId="0">
      <text>
        <t>Rohith | Capsol:
68981042 : 812 and 68</t>
      </text>
    </comment>
    <comment ref="CJ42" authorId="0" shapeId="0">
      <text>
        <t xml:space="preserve">Rohith | Capsol:
68981121 : 64 
ABOVE SUBSTITUTED FOR  
SYP 2X12X20  </t>
      </text>
    </comment>
    <comment ref="BH43" authorId="0" shapeId="0">
      <text>
        <t xml:space="preserve">Rohith | Capsol:
68981017: 58 OF 64
</t>
      </text>
    </comment>
    <comment ref="BQ43" authorId="0" shapeId="0">
      <text>
        <t>Rohith | Capsol:
68981043 : 366+530</t>
      </text>
    </comment>
    <comment ref="BR44" authorId="0" shapeId="0">
      <text>
        <t>Rohith | Capsol:
68981054:64</t>
      </text>
    </comment>
    <comment ref="BH53" authorId="0" shapeId="0">
      <text>
        <t xml:space="preserve">Rohith | Capsol:
68981018 : 3744
68981033 : 4160
</t>
      </text>
    </comment>
    <comment ref="BL53" authorId="0" shapeId="0">
      <text>
        <t>Rohith | Capsol:
689801019 : 3744</t>
      </text>
    </comment>
    <comment ref="BT53" authorId="0" shapeId="0">
      <text>
        <t>Rohith | Capsol:
68981057 : 3744</t>
      </text>
    </comment>
    <comment ref="BW53" authorId="0" shapeId="0">
      <text>
        <t>Rohith | Capsol:
68981059 : 3744</t>
      </text>
    </comment>
    <comment ref="BY53" authorId="0" shapeId="0">
      <text>
        <t>Rohith | Capsol:
68981072 : 4160</t>
      </text>
    </comment>
    <comment ref="BZ53" authorId="0" shapeId="0">
      <text>
        <t>Rohith | Capsol:
68981079 : 3744</t>
      </text>
    </comment>
    <comment ref="CA53" authorId="0" shapeId="0">
      <text>
        <t>Rohith | Capsol:
68981092 : 4160</t>
      </text>
    </comment>
    <comment ref="CB53" authorId="0" shapeId="0">
      <text>
        <t>Rohith | Capsol:
68981109 : 4160</t>
      </text>
    </comment>
    <comment ref="CL53" authorId="0" shapeId="0">
      <text>
        <t>Rohith | Capsol:
68981127: 4160</t>
      </text>
    </comment>
    <comment ref="CM53" authorId="0" shapeId="0">
      <text>
        <t>Rohith | Capsol:
68981126: 4160</t>
      </text>
    </comment>
    <comment ref="CU53" authorId="0" shapeId="0">
      <text>
        <t>Rohith | Capsol:
68981091: 3744</t>
      </text>
    </comment>
    <comment ref="CW53" authorId="0" shapeId="0">
      <text>
        <t>Rohith | Capsol:
68981150: 4160</t>
      </text>
    </comment>
    <comment ref="DC53" authorId="0" shapeId="0">
      <text>
        <t>Rohith | Capsol:
68981161: 4160</t>
      </text>
    </comment>
    <comment ref="DG53" authorId="1" shapeId="0">
      <text>
        <t>Invoices:
68981169: 4160</t>
      </text>
    </comment>
    <comment ref="BH54" authorId="0" shapeId="0">
      <text>
        <t>Rohith | Capsol:
68981017 : 1152
68981020 : 2560
68981021 : 2560
68981022 : 2304</t>
      </text>
    </comment>
    <comment ref="BS54" authorId="0" shapeId="0">
      <text>
        <t>Rohith | Capsol:
68981023:2560</t>
      </text>
    </comment>
    <comment ref="BU54" authorId="0" shapeId="0">
      <text>
        <t>Rohith | Capsol:
68981053:  2432
68981063 : 2560</t>
      </text>
    </comment>
    <comment ref="BX54" authorId="0" shapeId="0">
      <text>
        <t>Rohith | Capsol:
68981060: 2560</t>
      </text>
    </comment>
    <comment ref="BY54" authorId="0" shapeId="0">
      <text>
        <t>Rohith | Capsol:
68981099:2560</t>
      </text>
    </comment>
    <comment ref="CA54" authorId="0" shapeId="0">
      <text>
        <t>Rohith | Capsol:
68981080 : 2432
68981083 : 2304</t>
      </text>
    </comment>
    <comment ref="CE54" authorId="0" shapeId="0">
      <text>
        <t>Rohith | Capsol:
68981058: 2560
68981082: 2688</t>
      </text>
    </comment>
    <comment ref="CF54" authorId="0" shapeId="0">
      <text>
        <t>Rohith | Capsol:
68981073: 2560
68981084: 2688</t>
      </text>
    </comment>
    <comment ref="CG54" authorId="0" shapeId="0">
      <text>
        <t>Rohith | Capsol:
68981085: 2560
68981086: 2560
68981090: 2304</t>
      </text>
    </comment>
    <comment ref="CJ54" authorId="0" shapeId="0">
      <text>
        <t>Rohith | Capsol:
68981087: 2560</t>
      </text>
    </comment>
    <comment ref="CV54" authorId="0" shapeId="0">
      <text>
        <t>Rohith | Capsol:
68981089: 2688
68981104: 2560</t>
      </text>
    </comment>
    <comment ref="DD54" authorId="0" shapeId="0">
      <text>
        <t>Rohith | Capsol:
68981088: 2560</t>
      </text>
    </comment>
    <comment ref="DG54" authorId="1" shapeId="0">
      <text>
        <t>Invoices:
68981105: 2688</t>
      </text>
    </comment>
    <comment ref="DH54" authorId="1" shapeId="0">
      <text>
        <t>Invoices:
68981162: 2304</t>
      </text>
    </comment>
    <comment ref="D62" authorId="0" shapeId="0">
      <text>
        <t>Rohith | Capsol:
Mockupwall</t>
      </text>
    </comment>
    <comment ref="CA66" authorId="0" shapeId="0">
      <text>
        <t>Rohith | Capsol:
68981111 : 240</t>
      </text>
    </comment>
    <comment ref="CA67" authorId="0" shapeId="0">
      <text>
        <t>Rohith | Capsol:
68981111 : 78</t>
      </text>
    </comment>
    <comment ref="BU72" authorId="0" shapeId="0">
      <text>
        <t xml:space="preserve">Rohith | Capsol:
68981067 : 1512
</t>
      </text>
    </comment>
    <comment ref="BU74" authorId="0" shapeId="0">
      <text>
        <t>Rohith | Capsol:
68981067 : 676</t>
      </text>
    </comment>
    <comment ref="BS80" authorId="0" shapeId="0">
      <text>
        <t>Rohith | Capsol:
68981066 : 12</t>
      </text>
    </comment>
    <comment ref="BS84" authorId="0" shapeId="0">
      <text>
        <t>Rohith | Capsol:
68981066 : 80</t>
      </text>
    </comment>
    <comment ref="BS85" authorId="0" shapeId="0">
      <text>
        <t>Rohith | Capsol:
68981066 : 104</t>
      </text>
    </comment>
    <comment ref="CA86" authorId="0" shapeId="0">
      <text>
        <t>Rohith | Capsol:
68981101 : 1080</t>
      </text>
    </comment>
    <comment ref="DA86" authorId="0" shapeId="0">
      <text>
        <t>Rohith | Capsol:
68981153: 18</t>
      </text>
    </comment>
    <comment ref="BJ89" authorId="0" shapeId="0">
      <text>
        <t>Rohith | Capsol:
68981029 : 36</t>
      </text>
    </comment>
    <comment ref="BC90" authorId="0" shapeId="0">
      <text>
        <t>Rohith | Capsol:
68981005 : 1</t>
      </text>
    </comment>
    <comment ref="BJ90" authorId="0" shapeId="0">
      <text>
        <t>Rohith | Capsol:
68981029 : 140 of 144</t>
      </text>
    </comment>
    <comment ref="BG91" authorId="0" shapeId="0">
      <text>
        <t>Rohith | Capsol:
68981016:720</t>
      </text>
    </comment>
    <comment ref="CL91" authorId="0" shapeId="0">
      <text>
        <t xml:space="preserve">Rohith | Capsol:
68981133: 360
</t>
      </text>
    </comment>
    <comment ref="CD92" authorId="0" shapeId="0">
      <text>
        <t>Rohith | Capsol:
68981114: 1296</t>
      </text>
    </comment>
    <comment ref="DL92" authorId="0" shapeId="0">
      <text>
        <t>Rohith | Capsol:
68981172: 1296</t>
      </text>
    </comment>
    <comment ref="DM93" authorId="0" shapeId="0">
      <text>
        <t>Rohith | Capsol:
68981160: 240</t>
      </text>
    </comment>
    <comment ref="CN94" authorId="0" shapeId="0">
      <text>
        <t>Rohith | Capsol:
68981115: 35</t>
      </text>
    </comment>
    <comment ref="BD95" authorId="0" shapeId="0">
      <text>
        <t>Rohith | Capsol:
68981008 : 4</t>
      </text>
    </comment>
    <comment ref="BD96" authorId="0" shapeId="0">
      <text>
        <t xml:space="preserve">Rohith | Capsol:
68981008 : 10
</t>
      </text>
    </comment>
    <comment ref="BD97" authorId="0" shapeId="0">
      <text>
        <t xml:space="preserve">Rohith | Capsol:
68981008 : 3
</t>
      </text>
    </comment>
    <comment ref="BD98" authorId="0" shapeId="0">
      <text>
        <t>Rohith | Capsol:
68981008 : 3</t>
      </text>
    </comment>
    <comment ref="BD99" authorId="0" shapeId="0">
      <text>
        <t>Rohith | Capsol:
68981008 : 15</t>
      </text>
    </comment>
    <comment ref="CL101" authorId="0" shapeId="0">
      <text>
        <t>Rohith | Capsol:
68981118 : 1384</t>
      </text>
    </comment>
    <comment ref="CR101" authorId="0" shapeId="0">
      <text>
        <t>Rohith | Capsol:
68981151: 1512</t>
      </text>
    </comment>
    <comment ref="CZ101" authorId="0" shapeId="0">
      <text>
        <t>Rohith | Capsol:
68981155: 275</t>
      </text>
    </comment>
    <comment ref="CL102" authorId="0" shapeId="0">
      <text>
        <t>Rohith | Capsol:
68981118 : 9</t>
      </text>
    </comment>
    <comment ref="CZ102" authorId="0" shapeId="0">
      <text>
        <t>Rohith | Capsol:
68981155: 9</t>
      </text>
    </comment>
    <comment ref="CL103" authorId="0" shapeId="0">
      <text>
        <t>Rohith | Capsol:
68981118 : 23</t>
      </text>
    </comment>
    <comment ref="BQ106" authorId="0" shapeId="0">
      <text>
        <t>Rohith | Capsol:
68981037:612
68981046:612</t>
      </text>
    </comment>
    <comment ref="BR106" authorId="0" shapeId="0">
      <text>
        <t>Rohith | Capsol:
68981052:612</t>
      </text>
    </comment>
    <comment ref="BV106" authorId="0" shapeId="0">
      <text>
        <t xml:space="preserve">Rohith | Capsol:
68981065 : 612
68981074 : 612
</t>
      </text>
    </comment>
    <comment ref="BW106" authorId="0" shapeId="0">
      <text>
        <t>Rohith | Capsol:
68981068 : 255</t>
      </text>
    </comment>
    <comment ref="CA106" authorId="0" shapeId="0">
      <text>
        <t xml:space="preserve">Rohith | Capsol:
68981093:612
68981094:612
68981095:612
</t>
      </text>
    </comment>
    <comment ref="CM106" authorId="0" shapeId="0">
      <text>
        <t>Rohith | Capsol:
68981128: 612</t>
      </text>
    </comment>
    <comment ref="CN106" authorId="0" shapeId="0">
      <text>
        <t xml:space="preserve">Rohith | Capsol:
68981129: 612
</t>
      </text>
    </comment>
    <comment ref="CT106" authorId="0" shapeId="0">
      <text>
        <t>Rohith | Capsol:
68981145: 612</t>
      </text>
    </comment>
    <comment ref="CV106" authorId="0" shapeId="0">
      <text>
        <t>Rohith | Capsol:
68981146: 612</t>
      </text>
    </comment>
    <comment ref="DE106" authorId="0" shapeId="0">
      <text>
        <t>Rohith | Capsol:
68981164: 408</t>
      </text>
    </comment>
    <comment ref="CY107" authorId="0" shapeId="0">
      <text>
        <t>Rohith | Capsol:
68981154: 24</t>
      </text>
    </comment>
    <comment ref="BX108" authorId="0" shapeId="0">
      <text>
        <t>Rohith | Capsol:
68981001 : 680
68981002 : 720
68981003 : 724</t>
      </text>
    </comment>
    <comment ref="CK108" authorId="0" shapeId="0">
      <text>
        <t>Rohith | Capsol:
68981004: 720</t>
      </text>
    </comment>
    <comment ref="CL108" authorId="0" shapeId="0">
      <text>
        <t>Rohith | Capsol:
68981132: 660</t>
      </text>
    </comment>
    <comment ref="CP108" authorId="0" shapeId="0">
      <text>
        <t>Rohith | Capsol:
68981131: 660</t>
      </text>
    </comment>
    <comment ref="DJ108" authorId="1" shapeId="0">
      <text>
        <t>Invoices:
68981171: 660</t>
      </text>
    </comment>
    <comment ref="DP108" authorId="0" shapeId="0">
      <text>
        <t>Rohith | Capsol:
68981179 : 330</t>
      </text>
    </comment>
    <comment ref="DS108" authorId="0" shapeId="0">
      <text>
        <t>Rohith | Capsol:
68981178 : 756</t>
      </text>
    </comment>
    <comment ref="BJ111" authorId="0" shapeId="0">
      <text>
        <t xml:space="preserve">Rohith | Capsol:
68981025 : 556 OF 900
68981026 : 900
68981027 : 900
</t>
      </text>
    </comment>
    <comment ref="BO111" authorId="0" shapeId="0">
      <text>
        <t>Rohith | Capsol:
68981044 : 900</t>
      </text>
    </comment>
    <comment ref="BW111" authorId="0" shapeId="0">
      <text>
        <t>Rohith | Capsol:
68981064 : 900
68981068 : 525</t>
      </text>
    </comment>
    <comment ref="BX111" authorId="0" shapeId="0">
      <text>
        <t>Rohith | Capsol:
68981096 : 900
68981075 : 900</t>
      </text>
    </comment>
    <comment ref="BZ111" authorId="0" shapeId="0">
      <text>
        <t>Rohith | Capsol:
68981097 : 900</t>
      </text>
    </comment>
    <comment ref="CA111" authorId="0" shapeId="0">
      <text>
        <t>Rohith | Capsol:
68981098 : 900</t>
      </text>
    </comment>
    <comment ref="CC111" authorId="0" shapeId="0">
      <text>
        <t>Rohith | Capsol:
68981110 : 900</t>
      </text>
    </comment>
    <comment ref="CW111" authorId="0" shapeId="0">
      <text>
        <t>Rohith | Capsol:
68981148: 900</t>
      </text>
    </comment>
    <comment ref="CX111" authorId="0" shapeId="0">
      <text>
        <t>Rohith | Capsol:
68981149: 900</t>
      </text>
    </comment>
    <comment ref="DB111" authorId="0" shapeId="0">
      <text>
        <t>Rohith | Capsol:
68981156: 825</t>
      </text>
    </comment>
    <comment ref="DO111" authorId="0" shapeId="0">
      <text>
        <t>Rohith | Capsol:
68981174 : 900</t>
      </text>
    </comment>
    <comment ref="DR111" authorId="0" shapeId="0">
      <text>
        <t>Rohith | Capsol:
68981173 : 828</t>
      </text>
    </comment>
    <comment ref="BM114" authorId="0" shapeId="0">
      <text>
        <t>Rohith | Capsol:
68981050 : 560</t>
      </text>
    </comment>
    <comment ref="CN114" authorId="0" shapeId="0">
      <text>
        <t>Rohith | Capsol:
68981139: 282</t>
      </text>
    </comment>
    <comment ref="DF114" authorId="1" shapeId="0">
      <text>
        <t>Invoices:
68981158: 140</t>
      </text>
    </comment>
    <comment ref="BC117" authorId="0" shapeId="0">
      <text>
        <t>Rohith | Capsol:
68981005 : 85</t>
      </text>
    </comment>
    <comment ref="BI123" authorId="0" shapeId="0">
      <text>
        <t xml:space="preserve">Rohith | Capsol:
68981028 : 16 of 416
</t>
      </text>
    </comment>
    <comment ref="BI124" authorId="0" shapeId="0">
      <text>
        <t xml:space="preserve">Rohith | Capsol:
68981028 : 604 OF 640
</t>
      </text>
    </comment>
    <comment ref="BI125" authorId="0" shapeId="0">
      <text>
        <t xml:space="preserve">Rohith | Capsol:
68981028 : 15 of 96
</t>
      </text>
    </comment>
    <comment ref="BM128" authorId="0" shapeId="0">
      <text>
        <t>Rohith | Capsol:
68981047 : 3</t>
      </text>
    </comment>
    <comment ref="BJ130" authorId="0" shapeId="0">
      <text>
        <t>Rohith | Capsol:
68981029 : 51 of 1456</t>
      </text>
    </comment>
    <comment ref="BI131" authorId="0" shapeId="0">
      <text>
        <t>Rohith | Capsol:
68980128 : 240 of 1152</t>
      </text>
    </comment>
    <comment ref="BI132" authorId="0" shapeId="0">
      <text>
        <t xml:space="preserve">Rohith | Capsol:
68981024 : 77 OF 1664
</t>
      </text>
    </comment>
    <comment ref="BH134" authorId="0" shapeId="0">
      <text>
        <t>Rohith | Capsol:
68981017 : 80 OF 160</t>
      </text>
    </comment>
    <comment ref="BI136" authorId="0" shapeId="0">
      <text>
        <t xml:space="preserve">Rohith | Capsol:
68981014 : 47 of 400
</t>
      </text>
    </comment>
    <comment ref="BH137" authorId="0" shapeId="0">
      <text>
        <t xml:space="preserve">Rohith | Capsol:
68981017: 6 OF 64
</t>
      </text>
    </comment>
    <comment ref="BR142" authorId="0" shapeId="0">
      <text>
        <t>Rohith | Capsol:
68981056 : 288</t>
      </text>
    </comment>
    <comment ref="BS143" authorId="0" shapeId="0">
      <text>
        <t>Rohith | Capsol:
68981066 : 180</t>
      </text>
    </comment>
    <comment ref="BS144" authorId="0" shapeId="0">
      <text>
        <t xml:space="preserve">Rohith | Capsol:
68981066 : 645 AND 1575
</t>
      </text>
    </comment>
    <comment ref="BS145" authorId="0" shapeId="0">
      <text>
        <t>Rohith | Capsol:
68981066 : 120</t>
      </text>
    </comment>
    <comment ref="BS146" authorId="0" shapeId="0">
      <text>
        <t>Rohith | Capsol:
68981066 : 2088 AND 2016</t>
      </text>
    </comment>
    <comment ref="BJ147" authorId="0" shapeId="0">
      <text>
        <t xml:space="preserve">Rohith | Capsol:
68981031 : 4290+3354
</t>
      </text>
    </comment>
    <comment ref="BJ149" authorId="0" shapeId="0">
      <text>
        <t>Rohith | Capsol:
68981029 : 4 of 144</t>
      </text>
    </comment>
    <comment ref="BJ151" authorId="0" shapeId="0">
      <text>
        <t>Rohith | Capsol:
68981025 : 344 OF 900</t>
      </text>
    </comment>
    <comment ref="BC157" authorId="0" shapeId="0">
      <text>
        <t>Rohith | Capsol:
68981005 : 12</t>
      </text>
    </comment>
    <comment ref="BC158" authorId="0" shapeId="0">
      <text>
        <t xml:space="preserve">Rohith | Capsol:
68981005 : 8
</t>
      </text>
    </comment>
    <comment ref="DI159" authorId="1" shapeId="0">
      <text>
        <t>Invoices:
68981138: 100</t>
      </text>
    </comment>
    <comment ref="BC160" authorId="0" shapeId="0">
      <text>
        <t xml:space="preserve">Rohith | Capsol:
68981005 : 1
</t>
      </text>
    </comment>
    <comment ref="BC161" authorId="0" shapeId="0">
      <text>
        <t>Rohith | Capsol:
68981005 : 1</t>
      </text>
    </comment>
    <comment ref="BV161" authorId="0" shapeId="0">
      <text>
        <t>Rohith | Capsol:
68981077 : 200</t>
      </text>
    </comment>
    <comment ref="DF161" authorId="1" shapeId="0">
      <text>
        <t>Invoices:
68981168: 180</t>
      </text>
    </comment>
    <comment ref="CA163" authorId="0" shapeId="0">
      <text>
        <t>Rohith | Capsol:
68981076 : 200</t>
      </text>
    </comment>
    <comment ref="DI163" authorId="1" shapeId="0">
      <text>
        <t>Invoices:
68981166: 100</t>
      </text>
    </comment>
    <comment ref="DP163" authorId="0" shapeId="0">
      <text>
        <t>Rohith | Capsol:
68981176 : 100</t>
      </text>
    </comment>
    <comment ref="CN164" authorId="0" shapeId="0">
      <text>
        <t>Rohith | Capsol:
68981115: 39</t>
      </text>
    </comment>
    <comment ref="DI164" authorId="1" shapeId="0">
      <text>
        <t>Invoices:
68981138: 96</t>
      </text>
    </comment>
    <comment ref="BE165" authorId="0" shapeId="0">
      <text>
        <t>Rohith | Capsol:
68981009 : 3</t>
      </text>
    </comment>
    <comment ref="CB165" authorId="0" shapeId="0">
      <text>
        <t>Rohith | Capsol:
68981102 : 100</t>
      </text>
    </comment>
    <comment ref="CQ165" authorId="0" shapeId="0">
      <text>
        <t>Rohith | Capsol:
68981147: 216</t>
      </text>
    </comment>
    <comment ref="DF165" authorId="1" shapeId="0">
      <text>
        <t>Invoices:
68981165: 40</t>
      </text>
    </comment>
    <comment ref="DI165" authorId="1" shapeId="0">
      <text>
        <t>Invoices:
68981138: 12</t>
      </text>
    </comment>
    <comment ref="DK165" authorId="1" shapeId="0">
      <text>
        <t xml:space="preserve">Invoices:
68981175: 44
</t>
      </text>
    </comment>
    <comment ref="DQ165" authorId="0" shapeId="0">
      <text>
        <t>Rohith | Capsol:
68981180 : 208</t>
      </text>
    </comment>
    <comment ref="CB167" authorId="0" shapeId="0">
      <text>
        <t>Rohith | Capsol:
68981102 : 250</t>
      </text>
    </comment>
    <comment ref="CB168" authorId="0" shapeId="0">
      <text>
        <t>Rohith | Capsol:
68981102 : 250</t>
      </text>
    </comment>
    <comment ref="DQ168" authorId="0" shapeId="0">
      <text>
        <t>Rohith | Capsol:
68981180 : 288</t>
      </text>
    </comment>
    <comment ref="CB170" authorId="0" shapeId="0">
      <text>
        <t>Rohith | Capsol:
68981102 : 100</t>
      </text>
    </comment>
    <comment ref="DA170" authorId="0" shapeId="0">
      <text>
        <t>Rohith | Capsol:
68981159: 48</t>
      </text>
    </comment>
    <comment ref="DF170" authorId="1" shapeId="0">
      <text>
        <t>Invoices:
68981168: 144</t>
      </text>
    </comment>
    <comment ref="BE173" authorId="0" shapeId="0">
      <text>
        <t>Rohith | Capsol:
68981010 : 1</t>
      </text>
    </comment>
    <comment ref="BE174" authorId="0" shapeId="0">
      <text>
        <t>Rohith | Capsol:
68981010 : 4</t>
      </text>
    </comment>
    <comment ref="BE175" authorId="0" shapeId="0">
      <text>
        <t>Rohith | Capsol:
68981013 : 3</t>
      </text>
    </comment>
    <comment ref="BE176" authorId="0" shapeId="0">
      <text>
        <t>Rohith | Capsol:
68981013 : 15</t>
      </text>
    </comment>
  </commentList>
</comments>
</file>

<file path=xl/comments/comment2.xml><?xml version="1.0" encoding="utf-8"?>
<comments xmlns="http://schemas.openxmlformats.org/spreadsheetml/2006/main">
  <authors>
    <author>Rohith | Capsol</author>
  </authors>
  <commentList>
    <comment ref="AD3" authorId="0" shapeId="0">
      <text>
        <t>Rohith | Capsol:
60126012 : 208
60126014 : 208
60126021 : 208</t>
      </text>
    </comment>
    <comment ref="AM3" authorId="0" shapeId="0">
      <text>
        <t>Rohith | Capsol:
60126038 : 208</t>
      </text>
    </comment>
    <comment ref="AD5" authorId="0" shapeId="0">
      <text>
        <t>Rohith | Capsol:
60126012 : 128
60126014 : 128
60126021 : 128</t>
      </text>
    </comment>
    <comment ref="AD6" authorId="0" shapeId="0">
      <text>
        <t>Rohith | Capsol:
60126020 : 384</t>
      </text>
    </comment>
    <comment ref="AL6" authorId="0" shapeId="0">
      <text>
        <t>Rohith | Capsol:
60126033 : 288</t>
      </text>
    </comment>
    <comment ref="AD7" authorId="0" shapeId="0">
      <text>
        <t xml:space="preserve">Rohith | Capsol:
60126012 : 12
60126014 : 12 ( Not Charging Customer because overshipped)
</t>
      </text>
    </comment>
    <comment ref="AD8" authorId="0" shapeId="0">
      <text>
        <t>Rohith | Capsol:
60126004 : 2912</t>
      </text>
    </comment>
    <comment ref="AE8" authorId="0" shapeId="0">
      <text>
        <t>Rohith | Capsol:
60126019 : 3120</t>
      </text>
    </comment>
    <comment ref="AN8" authorId="0" shapeId="0">
      <text>
        <t>Rohith | Capsol:
60126039 : 624</t>
      </text>
    </comment>
    <comment ref="AO8" authorId="0" shapeId="0">
      <text>
        <t>Rohith | Capsol:
60126043: 208</t>
      </text>
    </comment>
    <comment ref="AJ10" authorId="0" shapeId="0">
      <text>
        <t>Rohith | Capsol:
60126031 : 832</t>
      </text>
    </comment>
    <comment ref="AL12" authorId="0" shapeId="0">
      <text>
        <t>Rohith | Capsol:
60126036 : 208</t>
      </text>
    </comment>
    <comment ref="AG13" authorId="0" shapeId="0">
      <text>
        <t>Rohith | Capsol:
60126028</t>
      </text>
    </comment>
    <comment ref="AD15" authorId="0" shapeId="0">
      <text>
        <t>Rohith | Capsol:
60126005 : 1920</t>
      </text>
    </comment>
    <comment ref="AE15" authorId="0" shapeId="0">
      <text>
        <t>Rohith | Capsol:
60126018 : 1792</t>
      </text>
    </comment>
    <comment ref="AK15" authorId="0" shapeId="0">
      <text>
        <t>Rohith | Capsol:
60126032 : 768</t>
      </text>
    </comment>
    <comment ref="AL16" authorId="0" shapeId="0">
      <text>
        <t>Rohith | Capsol:
60126036 : 256</t>
      </text>
    </comment>
    <comment ref="AD18" authorId="0" shapeId="0">
      <text>
        <t>Rohith | Capsol:
60126002 : 256</t>
      </text>
    </comment>
    <comment ref="AG19" authorId="0" shapeId="0">
      <text>
        <t>Rohith | Capsol:
60126028 : 128</t>
      </text>
    </comment>
    <comment ref="AG20" authorId="0" shapeId="0">
      <text>
        <t>Rohith | Capsol:
60126028 : 128</t>
      </text>
    </comment>
    <comment ref="AD21" authorId="0" shapeId="0">
      <text>
        <t xml:space="preserve">Rohith | Capsol:
60126002 : 192 and 192
60126021 : 288
</t>
      </text>
    </comment>
    <comment ref="AD22" authorId="0" shapeId="0">
      <text>
        <t>Rohith | Capsol:
60126022 : 320</t>
      </text>
    </comment>
    <comment ref="AD23" authorId="0" shapeId="0">
      <text>
        <t>Rohith | Capsol:
60126002 : 160</t>
      </text>
    </comment>
    <comment ref="AD31" authorId="0" shapeId="0">
      <text>
        <t>Rohith | Capsol:
60126002 : 64
60126022 : 64</t>
      </text>
    </comment>
    <comment ref="AD34" authorId="0" shapeId="0">
      <text>
        <t>Rohith | Capsol:
60126001 : 4160
60126016 : 4160</t>
      </text>
    </comment>
    <comment ref="AK35" authorId="0" shapeId="0">
      <text>
        <t>Rohith | Capsol:
60126032 : 1664</t>
      </text>
    </comment>
    <comment ref="AD36" authorId="0" shapeId="0">
      <text>
        <t>Rohith | Capsol:
60126006 : 2560
60126017 : 2560</t>
      </text>
    </comment>
    <comment ref="AE36" authorId="0" shapeId="0">
      <text>
        <t>Rohith | Capsol:
60126025 : 2560</t>
      </text>
    </comment>
    <comment ref="AI36" authorId="0" shapeId="0">
      <text>
        <t xml:space="preserve">Rohith | Capsol:
60126030 : 512
60126029 : 135
</t>
      </text>
    </comment>
    <comment ref="AL36" authorId="0" shapeId="0">
      <text>
        <t>Rohith | Capsol:
60126036 : 128</t>
      </text>
    </comment>
    <comment ref="AD38" authorId="0" shapeId="0">
      <text>
        <t>Rohith | Capsol:
60126012 : 480
60126014 : 480</t>
      </text>
    </comment>
    <comment ref="AD40" authorId="0" shapeId="0">
      <text>
        <t>Rohith | Capsol:
60126007 : 2160 LF</t>
      </text>
    </comment>
    <comment ref="AE40" authorId="0" shapeId="0">
      <text>
        <t>Rohith | Capsol:
60126015 : 2160 LF</t>
      </text>
    </comment>
    <comment ref="AF40" authorId="0" shapeId="0">
      <text>
        <t>Rohith | Capsol:
60126026 : 135LF</t>
      </text>
    </comment>
    <comment ref="AE41" authorId="0" shapeId="0">
      <text>
        <t>Rohith | Capsol:
60126015 : 180 LF</t>
      </text>
    </comment>
    <comment ref="AF41" authorId="0" shapeId="0">
      <text>
        <t>Rohith | Capsol:
60126026 : 12LF</t>
      </text>
    </comment>
    <comment ref="AD43" authorId="0" shapeId="0">
      <text>
        <t>Rohith | Capsol:
6012007 : 120 LF</t>
      </text>
    </comment>
    <comment ref="AE43" authorId="0" shapeId="0">
      <text>
        <t>Rohith | Capsol:
60126015 : 120 LF</t>
      </text>
    </comment>
    <comment ref="AF43" authorId="0" shapeId="0">
      <text>
        <t>Rohith | Capsol:
60126026 : 20LF</t>
      </text>
    </comment>
    <comment ref="AD44" authorId="0" shapeId="0">
      <text>
        <t>Rohith | Capsol:
60126007 : 84 LF</t>
      </text>
    </comment>
    <comment ref="AE44" authorId="0" shapeId="0">
      <text>
        <t>Rohith | Capsol:
60126015 : 154 LF</t>
      </text>
    </comment>
    <comment ref="AF44" authorId="0" shapeId="0">
      <text>
        <t>Rohith | Capsol:
60126026 : 14LF</t>
      </text>
    </comment>
    <comment ref="AE45" authorId="0" shapeId="0">
      <text>
        <t>Rohith | Capsol:
60126015 : 14 LF</t>
      </text>
    </comment>
    <comment ref="AF45" authorId="0" shapeId="0">
      <text>
        <t>Rohith | Capsol:
60126026 : 14LF</t>
      </text>
    </comment>
    <comment ref="AD47" authorId="0" shapeId="0">
      <text>
        <t>Rohith | Capsol:
60126008 : 516</t>
      </text>
    </comment>
    <comment ref="AD48" authorId="0" shapeId="0">
      <text>
        <t>Rohith | Capsol:
60126008 : 49</t>
      </text>
    </comment>
    <comment ref="AD49" authorId="0" shapeId="0">
      <text>
        <t>Rohith | Capsol:
60126008 : 58</t>
      </text>
    </comment>
    <comment ref="AD50" authorId="0" shapeId="0">
      <text>
        <t>Rohith | Capsol:
60126008 : 16</t>
      </text>
    </comment>
    <comment ref="AD58" authorId="0" shapeId="0">
      <text>
        <t>Rohith | Capsol:
60126003 : 490
60126013 : 470</t>
      </text>
    </comment>
    <comment ref="AE60" authorId="0" shapeId="0">
      <text>
        <t>Rohith | Capsol:
60126023 : 360</t>
      </text>
    </comment>
    <comment ref="AE61" authorId="0" shapeId="0">
      <text>
        <t>Rohith | Capsol:
60126023 : 87</t>
      </text>
    </comment>
    <comment ref="AH61" authorId="0" shapeId="0">
      <text>
        <t>Rohith | Capsol:
60126024 : 754</t>
      </text>
    </comment>
    <comment ref="AL61" authorId="0" shapeId="0">
      <text>
        <t>Rohith | Capsol:
60126036 : 336</t>
      </text>
    </comment>
    <comment ref="AN61" authorId="0" shapeId="0">
      <text>
        <t>Rohith | Capsol:
60126040 : 56</t>
      </text>
    </comment>
    <comment ref="AD63" authorId="0" shapeId="0">
      <text>
        <t>Rohith | Capsol:
60126008 : 48</t>
      </text>
    </comment>
    <comment ref="AD64" authorId="0" shapeId="0">
      <text>
        <t>Rohith | Capsol:
60126009 : 585</t>
      </text>
    </comment>
    <comment ref="AE64" authorId="0" shapeId="0">
      <text>
        <t>Rohith | Capsol:
60126011 : 585</t>
      </text>
    </comment>
    <comment ref="AI64" authorId="0" shapeId="0">
      <text>
        <t>Rohith | Capsol:
60126029 : 135</t>
      </text>
    </comment>
    <comment ref="AL65" authorId="0" shapeId="0">
      <text>
        <t>Rohith | Capsol:
60126034 : 96</t>
      </text>
    </comment>
    <comment ref="AD67" authorId="0" shapeId="0">
      <text>
        <t xml:space="preserve">Rohith | Capsol:
60126010 " 1050
</t>
      </text>
    </comment>
    <comment ref="AI67" authorId="0" shapeId="0">
      <text>
        <t xml:space="preserve">Rohith | Capsol:
60126030 : 786
</t>
      </text>
    </comment>
    <comment ref="AL67" authorId="0" shapeId="0">
      <text>
        <t xml:space="preserve">Rohith | Capsol:
60126036 : 140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10).xlsm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obia Cove Appartments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/>
      <sheetData sheetId="1"/>
      <sheetData sheetId="2">
        <row r="11">
          <cell r="H11">
            <v>1175823.1152750002</v>
          </cell>
        </row>
      </sheetData>
      <sheetData sheetId="3"/>
      <sheetData sheetId="4"/>
      <sheetData sheetId="5"/>
      <sheetData sheetId="6"/>
      <sheetData sheetId="7"/>
      <sheetData sheetId="8">
        <row r="825">
          <cell r="G825">
            <v>308624.15000000008</v>
          </cell>
          <cell r="I825">
            <v>330227.90000000008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Cobia Cove Appartments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40">
          <cell r="I740">
            <v>88636.75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118"/>
  <sheetViews>
    <sheetView tabSelected="1" workbookViewId="0">
      <selection activeCell="I20" sqref="I20:I23"/>
    </sheetView>
  </sheetViews>
  <sheetFormatPr baseColWidth="8" defaultRowHeight="14.25"/>
  <cols>
    <col width="12" bestFit="1" customWidth="1" style="178" min="1" max="1"/>
    <col width="11.73046875" bestFit="1" customWidth="1" style="178" min="2" max="2"/>
    <col width="9.1328125" bestFit="1" customWidth="1" style="178" min="3" max="3"/>
    <col width="47.1328125" bestFit="1" customWidth="1" style="178" min="4" max="4"/>
    <col width="10.73046875" customWidth="1" style="178" min="5" max="5"/>
    <col width="14.86328125" customWidth="1" style="178" min="6" max="6"/>
    <col width="18" customWidth="1" style="178" min="7" max="7"/>
    <col width="19.3984375" customWidth="1" style="178" min="8" max="8"/>
    <col width="20.73046875" customWidth="1" style="178" min="9" max="9"/>
    <col width="20.265625" customWidth="1" min="10" max="10"/>
    <col width="25.3984375" bestFit="1" customWidth="1" min="11" max="11"/>
    <col width="53.265625" customWidth="1" min="12" max="12"/>
    <col width="14.1328125" customWidth="1" min="13" max="13"/>
    <col width="15.86328125" customWidth="1" style="177" min="14" max="14"/>
    <col width="17.59765625" customWidth="1" style="177" min="15" max="15"/>
    <col width="33.3984375" bestFit="1" customWidth="1" min="16" max="16"/>
    <col width="15.59765625" customWidth="1" min="17" max="18"/>
    <col width="12.1328125" bestFit="1" customWidth="1" min="19" max="19"/>
    <col width="11.1328125" bestFit="1" customWidth="1" style="177" min="20" max="20"/>
    <col width="12.73046875" bestFit="1" customWidth="1" style="177" min="21" max="21"/>
  </cols>
  <sheetData>
    <row r="5">
      <c r="A5" s="358" t="inlineStr">
        <is>
          <t>VPO for Willow Way Village</t>
        </is>
      </c>
      <c r="B5" s="359" t="n"/>
      <c r="C5" s="359" t="n"/>
      <c r="D5" s="359" t="n"/>
      <c r="E5" s="359" t="n"/>
      <c r="F5" s="359" t="n"/>
      <c r="G5" s="359" t="n"/>
      <c r="H5" s="359" t="n"/>
      <c r="I5" s="359" t="n"/>
      <c r="J5" s="359" t="n"/>
      <c r="K5" s="359" t="n"/>
      <c r="L5" s="360" t="n"/>
    </row>
    <row r="6">
      <c r="A6" s="197" t="n"/>
      <c r="B6" s="197" t="n"/>
      <c r="C6" s="197" t="n"/>
      <c r="D6" s="197" t="n"/>
      <c r="E6" s="197" t="n"/>
      <c r="F6" s="197" t="n"/>
      <c r="G6" s="197" t="n"/>
      <c r="H6" s="197" t="n"/>
      <c r="I6" s="197" t="n"/>
      <c r="J6" s="179" t="n"/>
      <c r="K6" s="179" t="n"/>
      <c r="L6" s="179" t="n"/>
    </row>
    <row r="7">
      <c r="A7" s="228" t="inlineStr">
        <is>
          <t>VPO Date</t>
        </is>
      </c>
      <c r="B7" s="228" t="inlineStr">
        <is>
          <t>Ordered Qty</t>
        </is>
      </c>
      <c r="C7" s="228" t="inlineStr">
        <is>
          <t>UOM</t>
        </is>
      </c>
      <c r="D7" s="228" t="inlineStr">
        <is>
          <t>Description</t>
        </is>
      </c>
      <c r="E7" s="228" t="inlineStr">
        <is>
          <t>Footage</t>
        </is>
      </c>
      <c r="F7" s="228" t="inlineStr">
        <is>
          <t>Price</t>
        </is>
      </c>
      <c r="G7" s="228" t="inlineStr">
        <is>
          <t>Amount</t>
        </is>
      </c>
      <c r="H7" s="228" t="inlineStr">
        <is>
          <t>Tax</t>
        </is>
      </c>
      <c r="I7" s="228" t="inlineStr">
        <is>
          <t>Total Amount</t>
        </is>
      </c>
      <c r="J7" s="229" t="inlineStr">
        <is>
          <t>CO#</t>
        </is>
      </c>
      <c r="K7" s="229" t="inlineStr">
        <is>
          <t>CO numbers</t>
        </is>
      </c>
      <c r="L7" s="230" t="inlineStr">
        <is>
          <t>Remarks</t>
        </is>
      </c>
    </row>
    <row r="8">
      <c r="A8" s="272" t="inlineStr">
        <is>
          <t>11.21.2025</t>
        </is>
      </c>
      <c r="B8" s="197">
        <f>981</f>
        <v/>
      </c>
      <c r="C8" s="197" t="inlineStr">
        <is>
          <t xml:space="preserve">PC </t>
        </is>
      </c>
      <c r="D8" s="216" t="inlineStr">
        <is>
          <t>15/32" 4X8 OSB</t>
        </is>
      </c>
      <c r="E8" s="197" t="n">
        <v>31392</v>
      </c>
      <c r="F8" s="273" t="n">
        <v>395</v>
      </c>
      <c r="G8" s="273" t="n">
        <v>-12399.84</v>
      </c>
      <c r="H8" s="273">
        <f>1524.74</f>
        <v/>
      </c>
      <c r="I8" s="273">
        <f>G8+G9+G10+H8</f>
        <v/>
      </c>
      <c r="J8" s="313" t="inlineStr">
        <is>
          <t>Customer 
Change Order -01</t>
        </is>
      </c>
      <c r="K8" s="316" t="n">
        <v>1</v>
      </c>
      <c r="L8" s="179" t="n"/>
    </row>
    <row r="9">
      <c r="A9" s="243" t="n"/>
      <c r="B9" s="274" t="n">
        <v>981</v>
      </c>
      <c r="C9" s="197" t="inlineStr">
        <is>
          <t xml:space="preserve">PC </t>
        </is>
      </c>
      <c r="D9" s="201" t="inlineStr">
        <is>
          <t>19/32" 4X8 PLYWOOD</t>
        </is>
      </c>
      <c r="E9" s="274" t="n">
        <v>31392</v>
      </c>
      <c r="F9" s="183" t="n">
        <v>855</v>
      </c>
      <c r="G9" s="183" t="n">
        <v>26840.16</v>
      </c>
      <c r="H9" s="243" t="n"/>
      <c r="I9" s="243" t="n"/>
      <c r="J9" s="361" t="n"/>
      <c r="K9" s="361" t="n"/>
      <c r="L9" s="179" t="n"/>
    </row>
    <row r="10">
      <c r="A10" s="362" t="n"/>
      <c r="B10" s="274" t="n">
        <v>325</v>
      </c>
      <c r="C10" s="197" t="inlineStr">
        <is>
          <t xml:space="preserve">PC </t>
        </is>
      </c>
      <c r="D10" s="201" t="inlineStr">
        <is>
          <t>15/32" 4X8 PLYWOOD PT</t>
        </is>
      </c>
      <c r="E10" s="274" t="n">
        <v>10400</v>
      </c>
      <c r="F10" s="183" t="n">
        <v>1055</v>
      </c>
      <c r="G10" s="183">
        <f>10972</f>
        <v/>
      </c>
      <c r="H10" s="362" t="n"/>
      <c r="I10" s="362" t="n"/>
      <c r="J10" s="363" t="n"/>
      <c r="K10" s="363" t="n"/>
      <c r="L10" s="179" t="n"/>
    </row>
    <row r="11" ht="15" customHeight="1">
      <c r="A11" s="272" t="inlineStr">
        <is>
          <t>11.24.2025</t>
        </is>
      </c>
      <c r="B11" s="274" t="n">
        <v>-917</v>
      </c>
      <c r="C11" s="197" t="inlineStr">
        <is>
          <t xml:space="preserve">PC </t>
        </is>
      </c>
      <c r="D11" s="201" t="inlineStr">
        <is>
          <t>23/32" 4X8 OSB T&amp;G</t>
        </is>
      </c>
      <c r="E11" s="274" t="n">
        <v>-29344</v>
      </c>
      <c r="F11" s="183" t="n">
        <v>525</v>
      </c>
      <c r="G11" s="183" t="n">
        <v>-15406</v>
      </c>
      <c r="H11" s="273" t="n">
        <v>862.71</v>
      </c>
      <c r="I11" s="273">
        <f>G11+G12+H11</f>
        <v/>
      </c>
      <c r="J11" s="313" t="inlineStr">
        <is>
          <t>Customer 
Change Order -02</t>
        </is>
      </c>
      <c r="K11" s="314" t="n">
        <v>2</v>
      </c>
      <c r="L11" s="179" t="n"/>
    </row>
    <row r="12" ht="15" customHeight="1">
      <c r="A12" s="362" t="n"/>
      <c r="B12" s="274" t="n">
        <v>917</v>
      </c>
      <c r="C12" s="197" t="inlineStr">
        <is>
          <t xml:space="preserve">PC </t>
        </is>
      </c>
      <c r="D12" s="201" t="inlineStr">
        <is>
          <t>23/32" 4X8 OSB T&amp;G ADVANTECH</t>
        </is>
      </c>
      <c r="E12" s="274" t="n">
        <v>29344</v>
      </c>
      <c r="F12" s="183" t="n">
        <v>1015</v>
      </c>
      <c r="G12" s="183" t="n">
        <v>29784.16</v>
      </c>
      <c r="H12" s="362" t="n"/>
      <c r="I12" s="362" t="n"/>
      <c r="J12" s="363" t="n"/>
      <c r="K12" s="363" t="n"/>
      <c r="L12" s="179" t="n"/>
    </row>
    <row r="13" ht="15" customHeight="1">
      <c r="A13" s="304" t="inlineStr">
        <is>
          <t>12.08.2025</t>
        </is>
      </c>
      <c r="B13" s="274" t="n">
        <v>1063</v>
      </c>
      <c r="C13" s="197" t="inlineStr">
        <is>
          <t xml:space="preserve">PC </t>
        </is>
      </c>
      <c r="D13" s="201" t="inlineStr">
        <is>
          <t>SYP DRY #2 STUD PET 104-5/8" 2X6X9***</t>
        </is>
      </c>
      <c r="E13" s="274" t="n">
        <v>9567</v>
      </c>
      <c r="F13" s="183" t="n">
        <v>525</v>
      </c>
      <c r="G13" s="183" t="n">
        <v>5022.68</v>
      </c>
      <c r="H13" s="273">
        <f>564.45</f>
        <v/>
      </c>
      <c r="I13" s="273">
        <f>G13+G14+H13</f>
        <v/>
      </c>
      <c r="J13" s="315" t="inlineStr">
        <is>
          <t>VPO - 1</t>
        </is>
      </c>
      <c r="K13" s="314" t="n">
        <v>3</v>
      </c>
      <c r="L13" s="225" t="inlineStr">
        <is>
          <t>***Might be CCO</t>
        </is>
      </c>
    </row>
    <row r="14" ht="15" customHeight="1">
      <c r="A14" s="362" t="n"/>
      <c r="B14" s="274" t="n">
        <v>135</v>
      </c>
      <c r="C14" s="197" t="inlineStr">
        <is>
          <t xml:space="preserve">PC </t>
        </is>
      </c>
      <c r="D14" s="201" t="inlineStr">
        <is>
          <t>23/32" 4X8 OSB T&amp;G ADVANTECH</t>
        </is>
      </c>
      <c r="E14" s="274" t="n">
        <v>4320</v>
      </c>
      <c r="F14" s="183" t="n">
        <v>1015</v>
      </c>
      <c r="G14" s="183" t="n">
        <v>4384.8</v>
      </c>
      <c r="H14" s="362" t="n"/>
      <c r="I14" s="362" t="n"/>
      <c r="J14" s="363" t="n"/>
      <c r="K14" s="363" t="n"/>
      <c r="L14" s="225" t="inlineStr">
        <is>
          <t>Take off error</t>
        </is>
      </c>
    </row>
    <row r="15" ht="15" customHeight="1">
      <c r="A15" s="304" t="inlineStr">
        <is>
          <t>12.10.2025</t>
        </is>
      </c>
      <c r="B15" s="274" t="n">
        <v>9984</v>
      </c>
      <c r="C15" s="197" t="inlineStr">
        <is>
          <t>LF</t>
        </is>
      </c>
      <c r="D15" s="201" t="inlineStr">
        <is>
          <t>SYP DRY #2 BTR S4S 2X4XR/L</t>
        </is>
      </c>
      <c r="E15" s="274" t="n">
        <v>6656</v>
      </c>
      <c r="F15" s="183" t="n">
        <v>515</v>
      </c>
      <c r="G15" s="183" t="n">
        <v>3427.84</v>
      </c>
      <c r="H15" s="273" t="n">
        <v>205.67</v>
      </c>
      <c r="I15" s="273">
        <f>G15+H15</f>
        <v/>
      </c>
      <c r="J15" s="315" t="inlineStr">
        <is>
          <t>VPO - 2</t>
        </is>
      </c>
      <c r="K15" s="309" t="n">
        <v>4</v>
      </c>
      <c r="L15" s="225" t="inlineStr">
        <is>
          <t>bracing, kickers. blocking</t>
        </is>
      </c>
    </row>
    <row r="16" ht="15" customHeight="1">
      <c r="A16" s="304" t="inlineStr">
        <is>
          <t>12.27.2025</t>
        </is>
      </c>
      <c r="B16" s="274" t="n">
        <v>1664</v>
      </c>
      <c r="C16" s="197" t="inlineStr">
        <is>
          <t xml:space="preserve">PC </t>
        </is>
      </c>
      <c r="D16" s="201" t="inlineStr">
        <is>
          <t>SYP DRY #2 STUD PET 104-5/8" 2X4X9</t>
        </is>
      </c>
      <c r="E16" s="274" t="n">
        <v>9984</v>
      </c>
      <c r="F16" s="183" t="n">
        <v>545</v>
      </c>
      <c r="G16" s="183" t="n">
        <v>5441.28</v>
      </c>
      <c r="H16" s="273" t="n">
        <v>424.3</v>
      </c>
      <c r="I16" s="273">
        <f>G16+G17+H16</f>
        <v/>
      </c>
      <c r="J16" s="315" t="inlineStr">
        <is>
          <t>VPO - 3</t>
        </is>
      </c>
      <c r="K16" s="309" t="n">
        <v>5</v>
      </c>
      <c r="L16" s="225" t="inlineStr">
        <is>
          <t>Big Take off error</t>
        </is>
      </c>
    </row>
    <row r="17" ht="15" customHeight="1">
      <c r="A17" s="362" t="n"/>
      <c r="B17" s="274" t="n">
        <v>3748</v>
      </c>
      <c r="C17" s="197" t="inlineStr">
        <is>
          <t>LF</t>
        </is>
      </c>
      <c r="D17" s="234" t="inlineStr">
        <is>
          <t>SYP DRY #2/BTR S4S 2X6XR/L</t>
        </is>
      </c>
      <c r="E17" s="274" t="n">
        <v>3748</v>
      </c>
      <c r="F17" s="183" t="n">
        <v>435</v>
      </c>
      <c r="G17" s="183" t="n">
        <v>1630.38</v>
      </c>
      <c r="H17" s="362" t="n"/>
      <c r="I17" s="362" t="n"/>
      <c r="J17" s="363" t="n"/>
      <c r="K17" s="363" t="n"/>
      <c r="L17" s="225" t="inlineStr">
        <is>
          <t>bracing, kickers. blocking, headers, top and bottom plates</t>
        </is>
      </c>
    </row>
    <row r="18" ht="15" customHeight="1">
      <c r="A18" s="304" t="inlineStr">
        <is>
          <t>12.22.2025</t>
        </is>
      </c>
      <c r="B18" s="274" t="n">
        <v>4032</v>
      </c>
      <c r="C18" s="197" t="inlineStr">
        <is>
          <t>LF</t>
        </is>
      </c>
      <c r="D18" s="202" t="inlineStr">
        <is>
          <t>SYP MCA TREATED #2/BTR S4S 2X8XR/L</t>
        </is>
      </c>
      <c r="E18" s="274" t="n">
        <v>5376</v>
      </c>
      <c r="F18" s="183" t="n">
        <v>815</v>
      </c>
      <c r="G18" s="183" t="n">
        <v>4381.44</v>
      </c>
      <c r="H18" s="273" t="n">
        <v>262.89</v>
      </c>
      <c r="I18" s="273">
        <f>G18+H18</f>
        <v/>
      </c>
      <c r="J18" s="315" t="inlineStr">
        <is>
          <t>VPO - 4</t>
        </is>
      </c>
      <c r="K18" s="309" t="n">
        <v>6</v>
      </c>
      <c r="L18" s="225" t="inlineStr">
        <is>
          <t>headers on exterior walls</t>
        </is>
      </c>
    </row>
    <row r="19">
      <c r="A19" s="305" t="inlineStr">
        <is>
          <t>12.22.2025</t>
        </is>
      </c>
      <c r="B19" s="279" t="n">
        <v>50</v>
      </c>
      <c r="C19" s="198" t="inlineStr">
        <is>
          <t xml:space="preserve">PC </t>
        </is>
      </c>
      <c r="D19" s="224" t="inlineStr">
        <is>
          <t>23/32" 4X8 OSB T&amp;G MCA TREATED</t>
        </is>
      </c>
      <c r="E19" s="206" t="n">
        <v>1600</v>
      </c>
      <c r="F19" s="257" t="n">
        <v>1285</v>
      </c>
      <c r="G19" s="257" t="n">
        <v>2056</v>
      </c>
      <c r="H19" s="259">
        <f>123.36</f>
        <v/>
      </c>
      <c r="I19" s="259">
        <f>G19+H19</f>
        <v/>
      </c>
      <c r="J19" s="307" t="inlineStr">
        <is>
          <t>VPO - 5</t>
        </is>
      </c>
      <c r="K19" s="191" t="n">
        <v>8</v>
      </c>
      <c r="L19" s="225" t="inlineStr">
        <is>
          <t>sub floor sheathing in the corridors</t>
        </is>
      </c>
    </row>
    <row r="20">
      <c r="A20" s="305" t="inlineStr">
        <is>
          <t>12.29.2025</t>
        </is>
      </c>
      <c r="B20" s="274" t="n">
        <v>2496</v>
      </c>
      <c r="C20" s="197" t="inlineStr">
        <is>
          <t>LF</t>
        </is>
      </c>
      <c r="D20" s="201" t="inlineStr">
        <is>
          <t>SYP DRY #2 BTR S4S 2X4XR/L</t>
        </is>
      </c>
      <c r="E20" s="274" t="n">
        <v>1664</v>
      </c>
      <c r="F20" s="183" t="n">
        <v>515</v>
      </c>
      <c r="G20" s="183" t="n">
        <v>856.96</v>
      </c>
      <c r="H20" s="259">
        <f>515.9</f>
        <v/>
      </c>
      <c r="I20" s="259">
        <f>SUM(G20:G23)+H20</f>
        <v/>
      </c>
      <c r="J20" s="296" t="inlineStr">
        <is>
          <t>VPO - 6</t>
        </is>
      </c>
      <c r="K20" s="311" t="n">
        <v>9</v>
      </c>
      <c r="L20" s="225" t="inlineStr">
        <is>
          <t>bracing, kickers. blocking</t>
        </is>
      </c>
    </row>
    <row r="21">
      <c r="A21" s="243" t="n"/>
      <c r="B21" s="274" t="n">
        <v>3584</v>
      </c>
      <c r="C21" s="197" t="inlineStr">
        <is>
          <t>LF</t>
        </is>
      </c>
      <c r="D21" s="234" t="inlineStr">
        <is>
          <t>SYP DRY #2/BTR S4S 2X6XR/L</t>
        </is>
      </c>
      <c r="E21" s="274" t="n">
        <v>3584</v>
      </c>
      <c r="F21" s="183" t="n">
        <v>495</v>
      </c>
      <c r="G21" s="183" t="n">
        <v>1774.08</v>
      </c>
      <c r="H21" s="243" t="n"/>
      <c r="I21" s="243" t="n"/>
      <c r="J21" s="243" t="n"/>
      <c r="K21" s="361" t="n"/>
      <c r="L21" s="225" t="inlineStr">
        <is>
          <t>bracing, kickers. blocking, headers, top and bottom plates</t>
        </is>
      </c>
    </row>
    <row r="22">
      <c r="A22" s="243" t="n"/>
      <c r="B22" s="274" t="n">
        <v>128</v>
      </c>
      <c r="C22" s="197" t="inlineStr">
        <is>
          <t xml:space="preserve">PC </t>
        </is>
      </c>
      <c r="D22" s="224" t="inlineStr">
        <is>
          <t>SYP DRY #2 STUD PET 104-5/8" 2X6X9***</t>
        </is>
      </c>
      <c r="E22" s="274" t="n">
        <v>1152</v>
      </c>
      <c r="F22" s="183" t="n">
        <v>525</v>
      </c>
      <c r="G22" s="183" t="n">
        <v>604.8</v>
      </c>
      <c r="H22" s="243" t="n"/>
      <c r="I22" s="243" t="n"/>
      <c r="J22" s="243" t="n"/>
      <c r="K22" s="361" t="n"/>
      <c r="L22" s="225" t="inlineStr">
        <is>
          <t>***Might be CCO</t>
        </is>
      </c>
    </row>
    <row r="23">
      <c r="A23" s="243" t="n"/>
      <c r="B23" s="279" t="n">
        <v>196</v>
      </c>
      <c r="C23" s="198" t="inlineStr">
        <is>
          <t xml:space="preserve">PC </t>
        </is>
      </c>
      <c r="D23" s="224" t="inlineStr">
        <is>
          <t>19/32" 4X8 PLYWOOD</t>
        </is>
      </c>
      <c r="E23" s="206" t="n">
        <v>6272</v>
      </c>
      <c r="F23" s="257" t="n">
        <v>855</v>
      </c>
      <c r="G23" s="257" t="n">
        <v>5362.56</v>
      </c>
      <c r="H23" s="243" t="n"/>
      <c r="I23" s="243" t="n"/>
      <c r="J23" s="243" t="n"/>
      <c r="K23" s="361" t="n"/>
      <c r="L23" s="236" t="inlineStr">
        <is>
          <t>roof sheathing</t>
        </is>
      </c>
    </row>
    <row r="24">
      <c r="A24" s="304" t="inlineStr">
        <is>
          <t>1.16.2025</t>
        </is>
      </c>
      <c r="B24" s="274" t="n">
        <v>2912</v>
      </c>
      <c r="C24" s="197" t="inlineStr">
        <is>
          <t>LF</t>
        </is>
      </c>
      <c r="D24" s="179" t="inlineStr">
        <is>
          <t>SYP DRY #2/BTR S4S 2X4XR/L</t>
        </is>
      </c>
      <c r="E24" s="274" t="n">
        <v>1941</v>
      </c>
      <c r="F24" s="183" t="n">
        <v>515</v>
      </c>
      <c r="G24" s="183" t="n">
        <v>999.79</v>
      </c>
      <c r="H24" s="273" t="n">
        <v>59.99</v>
      </c>
      <c r="I24" s="273">
        <f>G24+H24</f>
        <v/>
      </c>
      <c r="J24" s="293" t="inlineStr">
        <is>
          <t>VPO - 7</t>
        </is>
      </c>
      <c r="K24" s="274" t="n">
        <v>10</v>
      </c>
      <c r="L24" s="225" t="inlineStr">
        <is>
          <t>For the furdowns in clubhouse</t>
        </is>
      </c>
    </row>
    <row r="25">
      <c r="A25" s="304" t="inlineStr">
        <is>
          <t>1.23.2026</t>
        </is>
      </c>
      <c r="B25" s="274" t="n">
        <v>7488</v>
      </c>
      <c r="C25" s="197" t="inlineStr">
        <is>
          <t>LF</t>
        </is>
      </c>
      <c r="D25" s="179" t="inlineStr">
        <is>
          <t>SYP DRY #2/BTR S4S 2X4XR/L</t>
        </is>
      </c>
      <c r="E25" s="274" t="n">
        <v>4992</v>
      </c>
      <c r="F25" s="183" t="n">
        <v>515</v>
      </c>
      <c r="G25" s="183" t="n">
        <v>2570.88</v>
      </c>
      <c r="H25" s="273" t="n">
        <v>154.25</v>
      </c>
      <c r="I25" s="273">
        <f>G25+H25</f>
        <v/>
      </c>
      <c r="J25" s="293" t="inlineStr">
        <is>
          <t>VPO - 8</t>
        </is>
      </c>
      <c r="K25" s="274" t="n">
        <v>11</v>
      </c>
      <c r="L25" s="225" t="n"/>
    </row>
    <row r="26">
      <c r="A26" s="304" t="inlineStr">
        <is>
          <t>1.26.2026</t>
        </is>
      </c>
      <c r="B26" s="274" t="n">
        <v>56</v>
      </c>
      <c r="C26" s="197" t="inlineStr">
        <is>
          <t xml:space="preserve">PC </t>
        </is>
      </c>
      <c r="D26" s="179" t="inlineStr">
        <is>
          <t>19/32" 4X8 PLYWOOD</t>
        </is>
      </c>
      <c r="E26" s="274" t="n">
        <v>1792</v>
      </c>
      <c r="F26" s="183" t="n">
        <v>855</v>
      </c>
      <c r="G26" s="183" t="n">
        <v>1532.16</v>
      </c>
      <c r="H26" s="273">
        <f>91.93</f>
        <v/>
      </c>
      <c r="I26" s="273">
        <f>G26+H26</f>
        <v/>
      </c>
      <c r="J26" s="293" t="inlineStr">
        <is>
          <t>VPO - 9</t>
        </is>
      </c>
      <c r="K26" s="274" t="n">
        <v>12</v>
      </c>
      <c r="L26" s="225" t="n"/>
    </row>
    <row r="27">
      <c r="A27" s="305" t="inlineStr">
        <is>
          <t>03.13.2026</t>
        </is>
      </c>
      <c r="B27" s="279" t="n">
        <v>2496</v>
      </c>
      <c r="C27" s="280" t="inlineStr">
        <is>
          <t>LF</t>
        </is>
      </c>
      <c r="D27" s="202" t="inlineStr">
        <is>
          <t>SYP DRY #2 BTR S4S 2X4XR/L</t>
        </is>
      </c>
      <c r="E27" s="279" t="n">
        <v>1664</v>
      </c>
      <c r="F27" s="257" t="n">
        <v>515</v>
      </c>
      <c r="G27" s="257" t="n">
        <v>856.96</v>
      </c>
      <c r="H27" s="259">
        <f>59.99</f>
        <v/>
      </c>
      <c r="I27" s="259">
        <f>G27+H27</f>
        <v/>
      </c>
      <c r="J27" s="296" t="inlineStr">
        <is>
          <t>VPO - 10</t>
        </is>
      </c>
      <c r="K27" s="279" t="n">
        <v>15</v>
      </c>
      <c r="L27" s="236" t="n"/>
    </row>
    <row r="28">
      <c r="A28" s="304" t="inlineStr">
        <is>
          <t>03.09.2026</t>
        </is>
      </c>
      <c r="B28" s="274" t="n">
        <v>128</v>
      </c>
      <c r="C28" s="197" t="inlineStr">
        <is>
          <t xml:space="preserve">PC </t>
        </is>
      </c>
      <c r="D28" s="201" t="inlineStr">
        <is>
          <t>SYP DRY #2 STUD PET 104-5/8" 2X6X9</t>
        </is>
      </c>
      <c r="E28" s="274" t="n">
        <v>1152</v>
      </c>
      <c r="F28" s="183" t="n">
        <v>645</v>
      </c>
      <c r="G28" s="183" t="n">
        <v>743.04</v>
      </c>
      <c r="H28" s="273">
        <f>150.04</f>
        <v/>
      </c>
      <c r="I28" s="273">
        <f>G28+G29+G30+H28</f>
        <v/>
      </c>
      <c r="J28" s="293" t="inlineStr">
        <is>
          <t>VPO - 11</t>
        </is>
      </c>
      <c r="K28" s="274" t="n">
        <v>14</v>
      </c>
      <c r="L28" s="225" t="n"/>
    </row>
    <row r="29">
      <c r="A29" s="243" t="n"/>
      <c r="B29" s="274" t="n">
        <v>72</v>
      </c>
      <c r="C29" s="197" t="inlineStr">
        <is>
          <t>LF</t>
        </is>
      </c>
      <c r="D29" s="201" t="inlineStr">
        <is>
          <t>3-1/2X11-7/8 GLULAM BEAM 6/12'</t>
        </is>
      </c>
      <c r="E29" s="274" t="n">
        <v>72</v>
      </c>
      <c r="F29" s="183" t="n">
        <v>19.45</v>
      </c>
      <c r="G29" s="183" t="n">
        <v>1400.4</v>
      </c>
      <c r="H29" s="243" t="n"/>
      <c r="I29" s="243" t="n"/>
      <c r="J29" s="243" t="n"/>
      <c r="K29" s="243" t="n"/>
      <c r="L29" s="225" t="n"/>
    </row>
    <row r="30">
      <c r="A30" s="362" t="n"/>
      <c r="B30" s="274" t="n">
        <v>1</v>
      </c>
      <c r="C30" s="197" t="inlineStr">
        <is>
          <t>EA</t>
        </is>
      </c>
      <c r="D30" s="201" t="inlineStr">
        <is>
          <t>DELIVERY - NO SALES TAX</t>
        </is>
      </c>
      <c r="E30" s="274" t="n">
        <v>1</v>
      </c>
      <c r="F30" s="183" t="n">
        <v>800</v>
      </c>
      <c r="G30" s="183" t="n">
        <v>800</v>
      </c>
      <c r="H30" s="362" t="n"/>
      <c r="I30" s="362" t="n"/>
      <c r="J30" s="362" t="n"/>
      <c r="K30" s="362" t="n"/>
      <c r="L30" s="225" t="n"/>
    </row>
    <row r="31">
      <c r="H31" s="227">
        <f>SUM(H8:H30)</f>
        <v/>
      </c>
      <c r="I31" s="227">
        <f>SUM(I8:I30)</f>
        <v/>
      </c>
    </row>
    <row r="32">
      <c r="I32" s="237" t="n"/>
      <c r="J32">
        <f>H28/SUM(G28:G30)</f>
        <v/>
      </c>
    </row>
    <row r="34">
      <c r="I34" s="237" t="n"/>
    </row>
    <row r="36">
      <c r="I36" s="237" t="n"/>
    </row>
    <row r="37" ht="14.45" customHeight="1">
      <c r="A37" s="358" t="inlineStr">
        <is>
          <t>VPO for Cobia Cove Apartments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60" t="n"/>
    </row>
    <row r="38">
      <c r="A38" s="280" t="n"/>
      <c r="B38" s="280" t="n"/>
      <c r="C38" s="280" t="n"/>
      <c r="D38" s="280" t="n"/>
      <c r="E38" s="280" t="n"/>
      <c r="F38" s="280" t="n"/>
      <c r="G38" s="280" t="n"/>
      <c r="H38" s="280" t="n"/>
      <c r="I38" s="280" t="n"/>
      <c r="J38" s="199" t="n"/>
      <c r="K38" s="199" t="n"/>
      <c r="L38" s="199" t="n"/>
    </row>
    <row r="39">
      <c r="A39" s="215" t="inlineStr">
        <is>
          <t>VPO Date</t>
        </is>
      </c>
      <c r="B39" s="215" t="inlineStr">
        <is>
          <t>Ordered Qty</t>
        </is>
      </c>
      <c r="C39" s="215" t="inlineStr">
        <is>
          <t>UOM</t>
        </is>
      </c>
      <c r="D39" s="215" t="inlineStr">
        <is>
          <t>Description</t>
        </is>
      </c>
      <c r="E39" s="215" t="inlineStr">
        <is>
          <t>Footage</t>
        </is>
      </c>
      <c r="F39" s="215" t="inlineStr">
        <is>
          <t>Price</t>
        </is>
      </c>
      <c r="G39" s="215" t="inlineStr">
        <is>
          <t>Amount</t>
        </is>
      </c>
      <c r="H39" s="215" t="inlineStr">
        <is>
          <t>Tax</t>
        </is>
      </c>
      <c r="I39" s="215" t="inlineStr">
        <is>
          <t>Total Amount</t>
        </is>
      </c>
      <c r="J39" s="180" t="inlineStr">
        <is>
          <t>CO#</t>
        </is>
      </c>
      <c r="K39" s="180" t="inlineStr">
        <is>
          <t>CO numbers</t>
        </is>
      </c>
      <c r="L39" s="180" t="inlineStr">
        <is>
          <t>Remarks</t>
        </is>
      </c>
    </row>
    <row r="40">
      <c r="A40" s="280" t="inlineStr">
        <is>
          <t>09.17.2025</t>
        </is>
      </c>
      <c r="B40" s="197" t="n">
        <v>5</v>
      </c>
      <c r="C40" s="197" t="inlineStr">
        <is>
          <t xml:space="preserve">PC </t>
        </is>
      </c>
      <c r="D40" s="216" t="inlineStr">
        <is>
          <t>SYP MCA TREATED #2/BTR S4S 2X6X12</t>
        </is>
      </c>
      <c r="E40" s="197" t="n">
        <v>5</v>
      </c>
      <c r="F40" s="273" t="n">
        <v>11.45</v>
      </c>
      <c r="G40" s="273" t="n">
        <v>57.25</v>
      </c>
      <c r="H40" s="280" t="n">
        <v>240.77</v>
      </c>
      <c r="I40" s="278">
        <f>SUM(G40:G48)+H40</f>
        <v/>
      </c>
      <c r="J40" s="279" t="inlineStr">
        <is>
          <t>VPO</t>
        </is>
      </c>
      <c r="K40" s="364" t="n"/>
      <c r="L40" s="274" t="inlineStr">
        <is>
          <t>Mockupwall</t>
        </is>
      </c>
    </row>
    <row r="41">
      <c r="A41" s="243" t="n"/>
      <c r="B41" s="197" t="n">
        <v>41</v>
      </c>
      <c r="C41" s="197" t="inlineStr">
        <is>
          <t xml:space="preserve">PC </t>
        </is>
      </c>
      <c r="D41" s="216" t="inlineStr">
        <is>
          <t>SYP DRY #2/BTR S4S 2X6X12</t>
        </is>
      </c>
      <c r="E41" s="197" t="n">
        <v>41</v>
      </c>
      <c r="F41" s="273" t="n">
        <v>7.35</v>
      </c>
      <c r="G41" s="273" t="n">
        <v>301.35</v>
      </c>
      <c r="H41" s="243" t="n"/>
      <c r="I41" s="243" t="n"/>
      <c r="J41" s="243" t="n"/>
      <c r="K41" s="243" t="n"/>
      <c r="L41" s="243" t="n"/>
    </row>
    <row r="42">
      <c r="A42" s="243" t="n"/>
      <c r="B42" s="197" t="n">
        <v>128</v>
      </c>
      <c r="C42" s="197" t="inlineStr">
        <is>
          <t xml:space="preserve">PC </t>
        </is>
      </c>
      <c r="D42" s="216" t="inlineStr">
        <is>
          <t>SYP DRY #2 STUD PET 104-5/8" 2X6X9</t>
        </is>
      </c>
      <c r="E42" s="197" t="n">
        <v>1152</v>
      </c>
      <c r="F42" s="273" t="n">
        <v>650</v>
      </c>
      <c r="G42" s="273" t="n">
        <v>748.8</v>
      </c>
      <c r="H42" s="243" t="n"/>
      <c r="I42" s="243" t="n"/>
      <c r="J42" s="243" t="n"/>
      <c r="K42" s="243" t="n"/>
      <c r="L42" s="243" t="n"/>
    </row>
    <row r="43">
      <c r="A43" s="243" t="n"/>
      <c r="B43" s="197" t="n">
        <v>1</v>
      </c>
      <c r="C43" s="197" t="inlineStr">
        <is>
          <t xml:space="preserve">PC </t>
        </is>
      </c>
      <c r="D43" s="216" t="inlineStr">
        <is>
          <t>TYVEK COMMERCIAL WRAP</t>
        </is>
      </c>
      <c r="E43" s="197" t="n">
        <v>1</v>
      </c>
      <c r="F43" s="273" t="n">
        <v>365</v>
      </c>
      <c r="G43" s="273" t="n">
        <v>365</v>
      </c>
      <c r="H43" s="243" t="n"/>
      <c r="I43" s="243" t="n"/>
      <c r="J43" s="243" t="n"/>
      <c r="K43" s="243" t="n"/>
      <c r="L43" s="243" t="n"/>
    </row>
    <row r="44">
      <c r="A44" s="243" t="n"/>
      <c r="B44" s="197" t="n">
        <v>12</v>
      </c>
      <c r="C44" s="197" t="inlineStr">
        <is>
          <t>EA</t>
        </is>
      </c>
      <c r="D44" s="216" t="inlineStr">
        <is>
          <t>TOWER RESIDENTIAL SEALANT</t>
        </is>
      </c>
      <c r="E44" s="197" t="n">
        <v>12</v>
      </c>
      <c r="F44" s="273" t="n">
        <v>8.050000000000001</v>
      </c>
      <c r="G44" s="273" t="n">
        <v>96.59999999999999</v>
      </c>
      <c r="H44" s="243" t="n"/>
      <c r="I44" s="243" t="n"/>
      <c r="J44" s="243" t="n"/>
      <c r="K44" s="243" t="n"/>
      <c r="L44" s="243" t="n"/>
    </row>
    <row r="45">
      <c r="A45" s="243" t="n"/>
      <c r="B45" s="197" t="n">
        <v>1</v>
      </c>
      <c r="C45" s="197" t="inlineStr">
        <is>
          <t>EA</t>
        </is>
      </c>
      <c r="D45" s="216" t="inlineStr">
        <is>
          <t>6" SILL SEAL</t>
        </is>
      </c>
      <c r="E45" s="197" t="n">
        <v>1</v>
      </c>
      <c r="F45" s="273" t="n">
        <v>7.75</v>
      </c>
      <c r="G45" s="273" t="n">
        <v>7.75</v>
      </c>
      <c r="H45" s="243" t="n"/>
      <c r="I45" s="243" t="n"/>
      <c r="J45" s="243" t="n"/>
      <c r="K45" s="243" t="n"/>
      <c r="L45" s="243" t="n"/>
    </row>
    <row r="46">
      <c r="A46" s="243" t="n"/>
      <c r="B46" s="197" t="n">
        <v>8</v>
      </c>
      <c r="C46" s="197" t="inlineStr">
        <is>
          <t xml:space="preserve">PC </t>
        </is>
      </c>
      <c r="D46" s="216" t="inlineStr">
        <is>
          <t>6" TYVEK FLASHING TAPE</t>
        </is>
      </c>
      <c r="E46" s="197" t="n">
        <v>8</v>
      </c>
      <c r="F46" s="273" t="n">
        <v>63.05</v>
      </c>
      <c r="G46" s="273" t="n">
        <v>504.4</v>
      </c>
      <c r="H46" s="243" t="n"/>
      <c r="I46" s="243" t="n"/>
      <c r="J46" s="243" t="n"/>
      <c r="K46" s="243" t="n"/>
      <c r="L46" s="243" t="n"/>
    </row>
    <row r="47">
      <c r="A47" s="243" t="n"/>
      <c r="B47" s="197" t="n">
        <v>1</v>
      </c>
      <c r="C47" s="197" t="inlineStr">
        <is>
          <t>EA</t>
        </is>
      </c>
      <c r="D47" s="216" t="inlineStr">
        <is>
          <t>9"X75' TYVEK FLEX TAPE</t>
        </is>
      </c>
      <c r="E47" s="197" t="n">
        <v>1</v>
      </c>
      <c r="F47" s="273" t="n">
        <v>198.15</v>
      </c>
      <c r="G47" s="273" t="n">
        <v>198.15</v>
      </c>
      <c r="H47" s="243" t="n"/>
      <c r="I47" s="243" t="n"/>
      <c r="J47" s="243" t="n"/>
      <c r="K47" s="243" t="n"/>
      <c r="L47" s="243" t="n"/>
    </row>
    <row r="48">
      <c r="A48" s="243" t="n"/>
      <c r="B48" s="280" t="n">
        <v>85</v>
      </c>
      <c r="C48" s="280" t="inlineStr">
        <is>
          <t xml:space="preserve">PC </t>
        </is>
      </c>
      <c r="D48" s="217" t="inlineStr">
        <is>
          <t>15/32" 4X8 OSB</t>
        </is>
      </c>
      <c r="E48" s="280" t="n">
        <v>85</v>
      </c>
      <c r="F48" s="259" t="n">
        <v>13.65</v>
      </c>
      <c r="G48" s="259" t="n">
        <v>1160.25</v>
      </c>
      <c r="H48" s="243" t="n"/>
      <c r="I48" s="243" t="n"/>
      <c r="J48" s="243" t="n"/>
      <c r="K48" s="362" t="n"/>
      <c r="L48" s="362" t="n"/>
    </row>
    <row r="49">
      <c r="A49" s="197" t="inlineStr">
        <is>
          <t>11.11.2025</t>
        </is>
      </c>
      <c r="B49" s="197" t="n">
        <v>4</v>
      </c>
      <c r="C49" s="197" t="inlineStr">
        <is>
          <t>EA</t>
        </is>
      </c>
      <c r="D49" s="216" t="inlineStr">
        <is>
          <t xml:space="preserve">SIMPSON HUC410 </t>
        </is>
      </c>
      <c r="E49" s="197">
        <f>B49</f>
        <v/>
      </c>
      <c r="F49" s="273" t="n">
        <v>16.25</v>
      </c>
      <c r="G49" s="273">
        <f>E49*F49</f>
        <v/>
      </c>
      <c r="H49" s="197" t="n">
        <v>92.95999999999999</v>
      </c>
      <c r="I49" s="365">
        <f>SUM(G49:G54)+H49</f>
        <v/>
      </c>
      <c r="J49" s="274" t="inlineStr">
        <is>
          <t>VPO</t>
        </is>
      </c>
      <c r="K49" s="364" t="n"/>
      <c r="L49" s="238" t="n"/>
    </row>
    <row r="50">
      <c r="A50" s="243" t="n"/>
      <c r="B50" s="197" t="n">
        <v>10</v>
      </c>
      <c r="C50" s="197" t="inlineStr">
        <is>
          <t>EA</t>
        </is>
      </c>
      <c r="D50" s="216" t="inlineStr">
        <is>
          <t>SIMPSON HUC210</t>
        </is>
      </c>
      <c r="E50" s="197">
        <f>B50</f>
        <v/>
      </c>
      <c r="F50" s="273" t="n">
        <v>18.15</v>
      </c>
      <c r="G50" s="273">
        <f>E50*F50</f>
        <v/>
      </c>
      <c r="H50" s="243" t="n"/>
      <c r="I50" s="243" t="n"/>
      <c r="J50" s="243" t="n"/>
      <c r="K50" s="243" t="n"/>
      <c r="L50" s="238" t="n"/>
    </row>
    <row r="51">
      <c r="A51" s="243" t="n"/>
      <c r="B51" s="197" t="n">
        <v>3</v>
      </c>
      <c r="C51" s="197" t="inlineStr">
        <is>
          <t>EA</t>
        </is>
      </c>
      <c r="D51" s="216" t="inlineStr">
        <is>
          <t>TREX HIDDEN FASTENERS</t>
        </is>
      </c>
      <c r="E51" s="197">
        <f>B51</f>
        <v/>
      </c>
      <c r="F51" s="273" t="n">
        <v>49.85</v>
      </c>
      <c r="G51" s="273">
        <f>E51*F51</f>
        <v/>
      </c>
      <c r="H51" s="243" t="n"/>
      <c r="I51" s="243" t="n"/>
      <c r="J51" s="243" t="n"/>
      <c r="K51" s="243" t="n"/>
      <c r="L51" s="238" t="n"/>
    </row>
    <row r="52">
      <c r="A52" s="243" t="n"/>
      <c r="B52" s="197" t="n">
        <v>3</v>
      </c>
      <c r="C52" s="197" t="inlineStr">
        <is>
          <t xml:space="preserve">PC </t>
        </is>
      </c>
      <c r="D52" s="216" t="inlineStr">
        <is>
          <t>19/32" 4X8 CDX</t>
        </is>
      </c>
      <c r="E52" s="197">
        <f>B52</f>
        <v/>
      </c>
      <c r="F52" s="273" t="n">
        <v>27.45</v>
      </c>
      <c r="G52" s="273">
        <f>E52*F52</f>
        <v/>
      </c>
      <c r="H52" s="243" t="n"/>
      <c r="I52" s="243" t="n"/>
      <c r="J52" s="243" t="n"/>
      <c r="K52" s="243" t="n"/>
      <c r="L52" s="205" t="n"/>
    </row>
    <row r="53">
      <c r="A53" s="243" t="n"/>
      <c r="B53" s="197" t="n">
        <v>3</v>
      </c>
      <c r="C53" s="197" t="inlineStr">
        <is>
          <t xml:space="preserve">PC </t>
        </is>
      </c>
      <c r="D53" s="216" t="inlineStr">
        <is>
          <t xml:space="preserve">TREX CLAM SHELL SQUARE EDGE 1X6X16 </t>
        </is>
      </c>
      <c r="E53" s="197">
        <f>B53</f>
        <v/>
      </c>
      <c r="F53" s="273" t="n">
        <v>47.2</v>
      </c>
      <c r="G53" s="273">
        <f>E53*F53</f>
        <v/>
      </c>
      <c r="H53" s="243" t="n"/>
      <c r="I53" s="243" t="n"/>
      <c r="J53" s="243" t="n"/>
      <c r="K53" s="243" t="n"/>
      <c r="L53" s="238" t="n"/>
    </row>
    <row r="54">
      <c r="A54" s="362" t="n"/>
      <c r="B54" s="197" t="n">
        <v>15</v>
      </c>
      <c r="C54" s="197" t="inlineStr">
        <is>
          <t xml:space="preserve">PC </t>
        </is>
      </c>
      <c r="D54" s="216" t="inlineStr">
        <is>
          <t xml:space="preserve">TREX CLAM SHELL GROOVED 1X6X16 </t>
        </is>
      </c>
      <c r="E54" s="197">
        <f>B54</f>
        <v/>
      </c>
      <c r="F54" s="273" t="n">
        <v>47.2</v>
      </c>
      <c r="G54" s="273">
        <f>E54*F54</f>
        <v/>
      </c>
      <c r="H54" s="362" t="n"/>
      <c r="I54" s="362" t="n"/>
      <c r="J54" s="362" t="n"/>
      <c r="K54" s="362" t="n"/>
      <c r="L54" s="238" t="n"/>
    </row>
    <row r="55">
      <c r="A55" s="269" t="inlineStr">
        <is>
          <t>12.29.2025</t>
        </is>
      </c>
      <c r="B55" s="301" t="n">
        <v>-936</v>
      </c>
      <c r="C55" s="301" t="inlineStr">
        <is>
          <t xml:space="preserve">PC </t>
        </is>
      </c>
      <c r="D55" s="239" t="inlineStr">
        <is>
          <t>15/32" 4X8 OSB</t>
        </is>
      </c>
      <c r="E55" s="301" t="n">
        <v>-29952</v>
      </c>
      <c r="F55" s="260" t="n">
        <v>475</v>
      </c>
      <c r="G55" s="260" t="n">
        <v>-14227.2</v>
      </c>
      <c r="H55" s="260">
        <f>1037.84</f>
        <v/>
      </c>
      <c r="I55" s="260">
        <f>G55+G56+H55</f>
        <v/>
      </c>
      <c r="J55" s="300" t="inlineStr">
        <is>
          <t>VPO</t>
        </is>
      </c>
      <c r="K55" s="366" t="n"/>
      <c r="L55" s="262" t="inlineStr">
        <is>
          <t>VPO</t>
        </is>
      </c>
      <c r="N55" s="203" t="n"/>
    </row>
    <row r="56" ht="14.45" customHeight="1">
      <c r="A56" s="362" t="n"/>
      <c r="B56" s="274" t="n">
        <v>936</v>
      </c>
      <c r="C56" s="197" t="inlineStr">
        <is>
          <t xml:space="preserve">PC </t>
        </is>
      </c>
      <c r="D56" t="inlineStr">
        <is>
          <t>15/32" 4X8 PLYWOOD PT</t>
        </is>
      </c>
      <c r="E56" s="274" t="n">
        <v>29952</v>
      </c>
      <c r="F56" s="183" t="n">
        <v>970</v>
      </c>
      <c r="G56" s="183" t="n">
        <v>29053.44</v>
      </c>
      <c r="H56" s="362" t="n"/>
      <c r="I56" s="362" t="n"/>
      <c r="J56" s="362" t="n"/>
      <c r="K56" s="362" t="n"/>
      <c r="L56" s="362" t="n"/>
      <c r="N56" s="203" t="n"/>
    </row>
    <row r="57">
      <c r="A57" s="272" t="inlineStr">
        <is>
          <t>1.12.2026</t>
        </is>
      </c>
      <c r="B57" s="274" t="n">
        <v>-232</v>
      </c>
      <c r="C57" s="197" t="inlineStr">
        <is>
          <t xml:space="preserve">PC </t>
        </is>
      </c>
      <c r="D57" s="190" t="inlineStr">
        <is>
          <t>7/16" 4X8 OSB</t>
        </is>
      </c>
      <c r="E57" s="274" t="n">
        <v>-7424</v>
      </c>
      <c r="F57" s="183" t="n">
        <v>465</v>
      </c>
      <c r="G57" s="183" t="n">
        <v>-3452.16</v>
      </c>
      <c r="H57" s="273" t="n">
        <v>-2726.24</v>
      </c>
      <c r="I57" s="273">
        <f>G57+G58+G59+H57</f>
        <v/>
      </c>
      <c r="J57" s="367" t="inlineStr">
        <is>
          <t>VPO</t>
        </is>
      </c>
      <c r="K57" s="183" t="n"/>
      <c r="L57" s="364" t="n"/>
      <c r="N57" s="203" t="n"/>
    </row>
    <row r="58" ht="14.45" customHeight="1">
      <c r="A58" s="243" t="n"/>
      <c r="B58" s="274" t="n">
        <v>-20099</v>
      </c>
      <c r="C58" s="197" t="inlineStr">
        <is>
          <t xml:space="preserve">PC </t>
        </is>
      </c>
      <c r="D58" t="inlineStr">
        <is>
          <t>15/32" 4X8 OSB</t>
        </is>
      </c>
      <c r="E58" s="274" t="n">
        <v>-643168</v>
      </c>
      <c r="F58" s="183" t="n">
        <v>475</v>
      </c>
      <c r="G58" s="183" t="n">
        <v>-305504.8</v>
      </c>
      <c r="H58" s="243" t="n"/>
      <c r="I58" s="243" t="n"/>
      <c r="J58" s="243" t="n"/>
      <c r="K58" s="243" t="n"/>
      <c r="L58" s="243" t="n"/>
      <c r="N58" s="203" t="n"/>
    </row>
    <row r="59" ht="14.45" customHeight="1">
      <c r="A59" s="362" t="n"/>
      <c r="B59" s="274" t="n">
        <v>18073</v>
      </c>
      <c r="C59" s="197" t="inlineStr">
        <is>
          <t xml:space="preserve">PC </t>
        </is>
      </c>
      <c r="D59" s="190" t="inlineStr">
        <is>
          <t>7/16" 4X9 OSB</t>
        </is>
      </c>
      <c r="E59" s="274" t="n">
        <v>650628</v>
      </c>
      <c r="F59" s="183" t="n">
        <v>415</v>
      </c>
      <c r="G59" s="183" t="n">
        <v>270010.62</v>
      </c>
      <c r="H59" s="362" t="n"/>
      <c r="I59" s="362" t="n"/>
      <c r="J59" s="362" t="n"/>
      <c r="K59" s="362" t="n"/>
      <c r="L59" s="362" t="n"/>
      <c r="N59" s="203" t="n"/>
    </row>
    <row r="60">
      <c r="A60" s="272" t="inlineStr">
        <is>
          <t>1.13.2026</t>
        </is>
      </c>
      <c r="B60" s="274" t="n">
        <v>-14976</v>
      </c>
      <c r="C60" s="197" t="inlineStr">
        <is>
          <t>LF</t>
        </is>
      </c>
      <c r="D60" s="190" t="inlineStr">
        <is>
          <t>SYP DRY #2/BTR S4S 2X4XR/L</t>
        </is>
      </c>
      <c r="E60" s="274" t="n">
        <v>-9984</v>
      </c>
      <c r="F60" s="183" t="n">
        <v>635</v>
      </c>
      <c r="G60" s="183" t="n">
        <v>-6339.84</v>
      </c>
      <c r="H60" s="273">
        <f>209.66</f>
        <v/>
      </c>
      <c r="I60" s="273">
        <f>G60+G61+H60</f>
        <v/>
      </c>
      <c r="J60" s="293" t="inlineStr">
        <is>
          <t>VPO</t>
        </is>
      </c>
      <c r="K60" s="209" t="n"/>
      <c r="L60" s="368" t="n"/>
      <c r="N60" s="203" t="n"/>
    </row>
    <row r="61">
      <c r="A61" s="362" t="n"/>
      <c r="B61" s="274" t="n">
        <v>1248</v>
      </c>
      <c r="C61" s="197" t="inlineStr">
        <is>
          <t xml:space="preserve">PC </t>
        </is>
      </c>
      <c r="D61" s="190" t="inlineStr">
        <is>
          <t>SYP #2 RED SAFETY RAIL 2X4X12</t>
        </is>
      </c>
      <c r="E61" s="274" t="n">
        <v>9984</v>
      </c>
      <c r="F61" s="183" t="n">
        <v>935</v>
      </c>
      <c r="G61" s="183" t="n">
        <v>9335.040000000001</v>
      </c>
      <c r="H61" s="362" t="n"/>
      <c r="I61" s="362" t="n"/>
      <c r="J61" s="362" t="n"/>
      <c r="K61" s="209" t="n"/>
      <c r="L61" s="362" t="n"/>
      <c r="N61" s="203" t="n"/>
    </row>
    <row r="62">
      <c r="A62" s="272" t="inlineStr">
        <is>
          <t>1.20.2026</t>
        </is>
      </c>
      <c r="B62" s="274" t="n">
        <v>6717</v>
      </c>
      <c r="C62" s="280" t="inlineStr">
        <is>
          <t>LF</t>
        </is>
      </c>
      <c r="D62" s="190" t="inlineStr">
        <is>
          <t>SYP MCA TREATED #2/BTR S4S 2X12XR/L</t>
        </is>
      </c>
      <c r="E62" s="274" t="n">
        <v>13434</v>
      </c>
      <c r="F62" s="183" t="n">
        <v>845</v>
      </c>
      <c r="G62" s="183" t="n">
        <v>11351.73</v>
      </c>
      <c r="H62" s="273" t="n">
        <v>794.62</v>
      </c>
      <c r="I62" s="273">
        <f>G62+H62</f>
        <v/>
      </c>
      <c r="J62" s="293" t="inlineStr">
        <is>
          <t>CO</t>
        </is>
      </c>
      <c r="K62" s="274" t="n"/>
      <c r="L62" s="225" t="n"/>
      <c r="N62" s="203" t="n"/>
    </row>
    <row r="63" ht="14.45" customHeight="1">
      <c r="A63" s="272" t="inlineStr">
        <is>
          <t>1.23.2026</t>
        </is>
      </c>
      <c r="B63" s="314" t="n">
        <v>14</v>
      </c>
      <c r="C63" s="274" t="inlineStr">
        <is>
          <t xml:space="preserve">PC </t>
        </is>
      </c>
      <c r="D63" s="240" t="inlineStr">
        <is>
          <t>SYP MCA TREATED #2/BTR S4S 2X6X24</t>
        </is>
      </c>
      <c r="E63" s="197" t="n">
        <v>336</v>
      </c>
      <c r="F63" s="207" t="n">
        <v>1615</v>
      </c>
      <c r="G63" s="183" t="n">
        <v>542.64</v>
      </c>
      <c r="H63" s="273" t="n">
        <v>1634.95</v>
      </c>
      <c r="I63" s="273">
        <f>G63+G64+G65+H63</f>
        <v/>
      </c>
      <c r="J63" s="293" t="inlineStr">
        <is>
          <t>CO</t>
        </is>
      </c>
      <c r="K63" s="209" t="n"/>
      <c r="L63" s="368" t="n"/>
      <c r="N63" s="203" t="n"/>
    </row>
    <row r="64" ht="14.45" customHeight="1">
      <c r="A64" s="243" t="n"/>
      <c r="B64" s="314" t="n">
        <v>7590</v>
      </c>
      <c r="C64" s="274" t="inlineStr">
        <is>
          <t>LF</t>
        </is>
      </c>
      <c r="D64" s="241" t="inlineStr">
        <is>
          <t>SYP DRY #2/BTR S4S 2X12XR/L</t>
        </is>
      </c>
      <c r="E64" s="197" t="n">
        <v>15180</v>
      </c>
      <c r="F64" s="207" t="n">
        <v>715</v>
      </c>
      <c r="G64" s="183" t="n">
        <v>10853.7</v>
      </c>
      <c r="H64" s="243" t="n"/>
      <c r="I64" s="243" t="n"/>
      <c r="J64" s="243" t="n"/>
      <c r="K64" s="209" t="n"/>
      <c r="L64" s="243" t="n"/>
      <c r="N64" s="203" t="n"/>
    </row>
    <row r="65" ht="14.45" customHeight="1">
      <c r="A65" s="362" t="n"/>
      <c r="B65" s="314" t="n">
        <v>1746</v>
      </c>
      <c r="C65" s="274" t="inlineStr">
        <is>
          <t>LF</t>
        </is>
      </c>
      <c r="D65" s="241" t="inlineStr">
        <is>
          <t>1-3/4X11-7/8 LVL 2.0E 97/18'</t>
        </is>
      </c>
      <c r="E65" s="197" t="n">
        <v>1746</v>
      </c>
      <c r="F65" s="207" t="n">
        <v>6.85</v>
      </c>
      <c r="G65" s="183" t="n">
        <v>11960.1</v>
      </c>
      <c r="H65" s="362" t="n"/>
      <c r="I65" s="362" t="n"/>
      <c r="J65" s="362" t="n"/>
      <c r="K65" s="209" t="n"/>
      <c r="L65" s="362" t="n"/>
      <c r="N65" s="203" t="n"/>
    </row>
    <row r="66">
      <c r="A66" s="272" t="inlineStr">
        <is>
          <t>1.23.2026</t>
        </is>
      </c>
      <c r="B66" s="274" t="n"/>
      <c r="C66" s="301" t="n"/>
      <c r="D66" s="274" t="n"/>
      <c r="E66" s="274" t="n"/>
      <c r="F66" s="183" t="n"/>
      <c r="G66" s="183" t="n">
        <v>-66710.72</v>
      </c>
      <c r="H66" s="273" t="n">
        <v>-4669.75</v>
      </c>
      <c r="I66" s="273">
        <f>G66+H66</f>
        <v/>
      </c>
      <c r="J66" s="293" t="n"/>
      <c r="K66" s="274" t="n"/>
      <c r="L66" s="225" t="n"/>
      <c r="N66" s="203" t="n"/>
    </row>
    <row r="67">
      <c r="A67" s="272" t="inlineStr">
        <is>
          <t>2.10.2026</t>
        </is>
      </c>
      <c r="B67" s="274" t="n">
        <v>8709</v>
      </c>
      <c r="C67" s="197" t="inlineStr">
        <is>
          <t>LF</t>
        </is>
      </c>
      <c r="D67" s="190" t="inlineStr">
        <is>
          <t>SYP MCA TREATED #2/BTR S4S 2X4XR/L</t>
        </is>
      </c>
      <c r="E67" s="274" t="n">
        <v>5806</v>
      </c>
      <c r="F67" s="183" t="n">
        <v>755</v>
      </c>
      <c r="G67" s="183" t="n">
        <v>4383.53</v>
      </c>
      <c r="H67" s="273" t="n">
        <v>306.85</v>
      </c>
      <c r="I67" s="273" t="n">
        <v>4690.38</v>
      </c>
      <c r="J67" s="293" t="inlineStr">
        <is>
          <t>VPO</t>
        </is>
      </c>
      <c r="K67" s="274" t="n"/>
      <c r="L67" s="236" t="n"/>
      <c r="N67" s="203" t="n"/>
    </row>
    <row r="68">
      <c r="A68" s="263" t="inlineStr">
        <is>
          <t>2.10.2026</t>
        </is>
      </c>
      <c r="B68" s="279" t="n">
        <v>64</v>
      </c>
      <c r="C68" s="280" t="inlineStr">
        <is>
          <t xml:space="preserve">PC </t>
        </is>
      </c>
      <c r="D68" s="224" t="inlineStr">
        <is>
          <t>SYP DRY #2/BTR S4S 2X12X18</t>
        </is>
      </c>
      <c r="E68" s="279" t="n">
        <v>2304</v>
      </c>
      <c r="F68" s="257" t="n">
        <v>815</v>
      </c>
      <c r="G68" s="257" t="n">
        <v>1877.76</v>
      </c>
      <c r="H68" s="259" t="n">
        <v>131.44</v>
      </c>
      <c r="I68" s="259">
        <f>G68+H68</f>
        <v/>
      </c>
      <c r="J68" s="296" t="inlineStr">
        <is>
          <t>VPO P</t>
        </is>
      </c>
      <c r="K68" s="279" t="n"/>
      <c r="L68" s="236" t="n"/>
      <c r="N68" s="203" t="n"/>
    </row>
    <row r="69">
      <c r="A69" s="272" t="inlineStr">
        <is>
          <t>02.17.2026</t>
        </is>
      </c>
      <c r="B69" s="200" t="n">
        <v>212</v>
      </c>
      <c r="C69" s="197" t="inlineStr">
        <is>
          <t xml:space="preserve">PC </t>
        </is>
      </c>
      <c r="D69" s="190" t="inlineStr">
        <is>
          <t>TYVEK COMMERCIAL WRAP D</t>
        </is>
      </c>
      <c r="E69" s="274" t="n">
        <v>212</v>
      </c>
      <c r="F69" s="183" t="n">
        <v>365</v>
      </c>
      <c r="G69" s="183" t="n">
        <v>77380</v>
      </c>
      <c r="H69" s="273">
        <f>770.98</f>
        <v/>
      </c>
      <c r="I69" s="273">
        <f>SUM(G69:G71)+H69</f>
        <v/>
      </c>
      <c r="J69" s="293" t="inlineStr">
        <is>
          <t>VPO</t>
        </is>
      </c>
      <c r="K69" s="366" t="n"/>
      <c r="L69" s="225" t="n"/>
      <c r="N69" s="203" t="n"/>
    </row>
    <row r="70">
      <c r="A70" s="243" t="n"/>
      <c r="B70" s="200" t="n">
        <v>-212</v>
      </c>
      <c r="C70" s="197" t="inlineStr">
        <is>
          <t xml:space="preserve">PC </t>
        </is>
      </c>
      <c r="D70" s="190" t="inlineStr">
        <is>
          <t xml:space="preserve">TYVEK COMMERCIAL WRAP </t>
        </is>
      </c>
      <c r="E70" s="274" t="n">
        <v>-212</v>
      </c>
      <c r="F70" s="183" t="n">
        <v>323</v>
      </c>
      <c r="G70" s="183" t="n">
        <v>-68476</v>
      </c>
      <c r="H70" s="243" t="n"/>
      <c r="I70" s="243" t="n"/>
      <c r="J70" s="243" t="n"/>
      <c r="K70" s="366" t="n"/>
      <c r="L70" s="225" t="n"/>
      <c r="N70" s="203" t="n"/>
    </row>
    <row r="71">
      <c r="A71" s="362" t="n"/>
      <c r="B71" s="200" t="n">
        <v>200</v>
      </c>
      <c r="C71" s="197" t="inlineStr">
        <is>
          <t>EA</t>
        </is>
      </c>
      <c r="D71" s="190" t="inlineStr">
        <is>
          <t>MTL HD HEAD FLASHING</t>
        </is>
      </c>
      <c r="E71" s="274" t="n">
        <v>200</v>
      </c>
      <c r="F71" s="183" t="n">
        <v>200</v>
      </c>
      <c r="G71" s="183" t="n">
        <v>2110</v>
      </c>
      <c r="H71" s="362" t="n"/>
      <c r="I71" s="362" t="n"/>
      <c r="J71" s="362" t="n"/>
      <c r="K71" s="366" t="n"/>
      <c r="L71" s="225" t="n"/>
    </row>
    <row r="72">
      <c r="A72" s="264" t="inlineStr">
        <is>
          <t>02.19.2026</t>
        </is>
      </c>
      <c r="B72" s="206" t="n">
        <v>256</v>
      </c>
      <c r="C72" s="280" t="inlineStr">
        <is>
          <t xml:space="preserve">PC </t>
        </is>
      </c>
      <c r="D72" s="224" t="inlineStr">
        <is>
          <t>SYP DRY #2/BTR S4S 1X6X12</t>
        </is>
      </c>
      <c r="E72" s="279" t="n">
        <v>1536</v>
      </c>
      <c r="F72" s="257" t="n">
        <v>1025</v>
      </c>
      <c r="G72" s="257" t="n">
        <v>1574.4</v>
      </c>
      <c r="H72" s="265" t="n">
        <v>110.21</v>
      </c>
      <c r="I72" s="265">
        <f>G72+H72</f>
        <v/>
      </c>
      <c r="J72" s="297" t="inlineStr">
        <is>
          <t>VPO</t>
        </is>
      </c>
      <c r="K72" s="274" t="n"/>
      <c r="L72" s="225" t="n"/>
    </row>
    <row r="73">
      <c r="A73" s="272" t="inlineStr">
        <is>
          <t>2.25.2026</t>
        </is>
      </c>
      <c r="B73" s="274" t="n">
        <v>1080</v>
      </c>
      <c r="C73" s="197" t="inlineStr">
        <is>
          <t>LF</t>
        </is>
      </c>
      <c r="D73" s="190" t="inlineStr">
        <is>
          <t>1-3/4X11-7/8 LVL MCA 60/18'</t>
        </is>
      </c>
      <c r="E73" s="274" t="n">
        <v>1080</v>
      </c>
      <c r="F73" s="183" t="n">
        <v>16</v>
      </c>
      <c r="G73" s="183" t="n">
        <v>17280</v>
      </c>
      <c r="H73" s="273">
        <f>G73*0.07</f>
        <v/>
      </c>
      <c r="I73" s="273">
        <f>G73+H73</f>
        <v/>
      </c>
      <c r="J73" s="293" t="inlineStr">
        <is>
          <t xml:space="preserve">CO </t>
        </is>
      </c>
      <c r="K73" s="206" t="n"/>
      <c r="L73" s="236" t="n"/>
    </row>
    <row r="74">
      <c r="A74" s="272" t="inlineStr">
        <is>
          <t>03.02.2026</t>
        </is>
      </c>
      <c r="B74" s="274" t="n">
        <v>22273</v>
      </c>
      <c r="C74" s="197" t="inlineStr">
        <is>
          <t>LF</t>
        </is>
      </c>
      <c r="D74" s="190" t="inlineStr">
        <is>
          <t>SYP DRY #2/BTR S4S 2X4XR/L</t>
        </is>
      </c>
      <c r="E74" s="274" t="n">
        <v>14849</v>
      </c>
      <c r="F74" s="183" t="n">
        <v>635</v>
      </c>
      <c r="G74" s="183" t="n">
        <v>9428.9</v>
      </c>
      <c r="H74" s="273">
        <f>-1035.17</f>
        <v/>
      </c>
      <c r="I74" s="273">
        <f>SUM(G74:G77)+H74</f>
        <v/>
      </c>
      <c r="J74" s="293" t="inlineStr">
        <is>
          <t>VPO P</t>
        </is>
      </c>
      <c r="K74" s="208">
        <f>G74*1.07</f>
        <v/>
      </c>
      <c r="L74" s="236" t="n"/>
    </row>
    <row r="75">
      <c r="A75" s="243" t="n"/>
      <c r="B75" s="274" t="n">
        <v>-22273</v>
      </c>
      <c r="C75" s="197" t="inlineStr">
        <is>
          <t>LF</t>
        </is>
      </c>
      <c r="D75" s="190" t="inlineStr">
        <is>
          <t>SYP DRY #2/BTR S4S 2X6XR/L</t>
        </is>
      </c>
      <c r="E75" s="274" t="n">
        <v>-22273</v>
      </c>
      <c r="F75" s="183" t="n">
        <v>635</v>
      </c>
      <c r="G75" s="183" t="n">
        <v>-14143.36</v>
      </c>
      <c r="H75" s="243" t="n"/>
      <c r="I75" s="243" t="n"/>
      <c r="J75" s="243" t="n"/>
      <c r="K75" s="208">
        <f>G75*1.07</f>
        <v/>
      </c>
      <c r="L75" s="236" t="n"/>
    </row>
    <row r="76">
      <c r="A76" s="243" t="n"/>
      <c r="B76" s="274" t="n">
        <v>5288</v>
      </c>
      <c r="C76" s="197" t="inlineStr">
        <is>
          <t xml:space="preserve">PC </t>
        </is>
      </c>
      <c r="D76" s="190" t="inlineStr">
        <is>
          <t>SYP DRY #2 STUD PET 104-5/8" 2X4X9</t>
        </is>
      </c>
      <c r="E76" s="274" t="n">
        <v>31728</v>
      </c>
      <c r="F76" s="183" t="n">
        <v>635</v>
      </c>
      <c r="G76" s="183" t="n">
        <v>20147.28</v>
      </c>
      <c r="H76" s="243" t="n"/>
      <c r="I76" s="243" t="n"/>
      <c r="J76" s="243" t="n"/>
      <c r="K76" s="208">
        <f>G76*1.07</f>
        <v/>
      </c>
      <c r="L76" s="236" t="n"/>
    </row>
    <row r="77">
      <c r="A77" s="362" t="n"/>
      <c r="B77" s="274" t="n">
        <v>-5288</v>
      </c>
      <c r="C77" s="197" t="inlineStr">
        <is>
          <t xml:space="preserve">PC </t>
        </is>
      </c>
      <c r="D77" t="inlineStr">
        <is>
          <t>SYP DRY #2 STUD PET 104-5/8" 2X6X9</t>
        </is>
      </c>
      <c r="E77" s="274" t="n">
        <v>-47592</v>
      </c>
      <c r="F77" s="183" t="n">
        <v>635</v>
      </c>
      <c r="G77" s="183" t="n">
        <v>-30220.92</v>
      </c>
      <c r="H77" s="362" t="n"/>
      <c r="I77" s="362" t="n"/>
      <c r="J77" s="362" t="n"/>
      <c r="K77" s="208">
        <f>G77*1.07</f>
        <v/>
      </c>
      <c r="L77" s="236" t="n"/>
    </row>
    <row r="78">
      <c r="A78" s="272" t="inlineStr">
        <is>
          <t>03.03.2026</t>
        </is>
      </c>
      <c r="B78" s="274" t="n">
        <v>624</v>
      </c>
      <c r="C78" s="197" t="inlineStr">
        <is>
          <t xml:space="preserve">PC </t>
        </is>
      </c>
      <c r="D78" s="190" t="inlineStr">
        <is>
          <t>SYP #2 RED SAFETY RAIL 2X4X12</t>
        </is>
      </c>
      <c r="E78" s="274" t="n">
        <v>4992</v>
      </c>
      <c r="F78" s="183" t="n">
        <v>935</v>
      </c>
      <c r="G78" s="183" t="n">
        <v>4667.52</v>
      </c>
      <c r="H78" s="273">
        <f>1062.55</f>
        <v/>
      </c>
      <c r="I78" s="273">
        <f>SUM(G78:G81)+H78</f>
        <v/>
      </c>
      <c r="J78" s="293" t="inlineStr">
        <is>
          <t>VPO</t>
        </is>
      </c>
      <c r="K78" s="204" t="n"/>
      <c r="L78" s="225" t="n"/>
    </row>
    <row r="79">
      <c r="A79" s="243" t="n"/>
      <c r="B79" s="274" t="n">
        <v>1296</v>
      </c>
      <c r="C79" s="197" t="inlineStr">
        <is>
          <t>EA</t>
        </is>
      </c>
      <c r="D79" s="179" t="inlineStr">
        <is>
          <t>DYNAFLEX 800 10.1 OZ</t>
        </is>
      </c>
      <c r="E79" s="274" t="n">
        <v>1296</v>
      </c>
      <c r="F79" s="183" t="n">
        <v>5.5</v>
      </c>
      <c r="G79" s="183" t="n">
        <v>7128</v>
      </c>
      <c r="H79" s="243" t="n"/>
      <c r="I79" s="243" t="n"/>
      <c r="J79" s="243" t="n"/>
      <c r="K79" s="204" t="n"/>
      <c r="L79" s="225" t="n"/>
    </row>
    <row r="80">
      <c r="A80" s="243" t="n"/>
      <c r="B80" s="274" t="n">
        <v>39</v>
      </c>
      <c r="C80" s="197" t="inlineStr">
        <is>
          <t>EA</t>
        </is>
      </c>
      <c r="D80" s="179" t="inlineStr">
        <is>
          <t>6"X50' BT20-XL</t>
        </is>
      </c>
      <c r="E80" s="274" t="n">
        <v>39</v>
      </c>
      <c r="F80" s="183" t="n">
        <v>30</v>
      </c>
      <c r="G80" s="183" t="n">
        <v>1170</v>
      </c>
      <c r="H80" s="243" t="n"/>
      <c r="I80" s="243" t="n"/>
      <c r="J80" s="243" t="n"/>
      <c r="K80" s="204" t="n"/>
      <c r="L80" s="225" t="n"/>
    </row>
    <row r="81">
      <c r="A81" s="362" t="n"/>
      <c r="B81" s="274" t="n">
        <v>35</v>
      </c>
      <c r="C81" s="197" t="inlineStr">
        <is>
          <t>EA</t>
        </is>
      </c>
      <c r="D81" s="179" t="inlineStr">
        <is>
          <t>5-1/2" DUAL GUARD THRESHOLD TA</t>
        </is>
      </c>
      <c r="E81" s="274" t="n">
        <v>35</v>
      </c>
      <c r="F81" s="183" t="n">
        <v>63.25</v>
      </c>
      <c r="G81" s="183" t="n">
        <v>2213.75</v>
      </c>
      <c r="H81" s="362" t="n"/>
      <c r="I81" s="362" t="n"/>
      <c r="J81" s="362" t="n"/>
      <c r="K81" s="204" t="n"/>
      <c r="L81" s="225" t="n"/>
    </row>
    <row r="82">
      <c r="A82" s="264" t="inlineStr">
        <is>
          <t>03.05.2026</t>
        </is>
      </c>
      <c r="B82" s="312" t="n">
        <v>62142</v>
      </c>
      <c r="C82" s="288" t="inlineStr">
        <is>
          <t>LF</t>
        </is>
      </c>
      <c r="D82" s="243" t="inlineStr">
        <is>
          <t>SYP DRY #2/BTR S4S 2X4XR/L</t>
        </is>
      </c>
      <c r="E82" s="238" t="n">
        <v>41428</v>
      </c>
      <c r="F82" s="271" t="n">
        <v>635</v>
      </c>
      <c r="G82" s="205" t="n">
        <v>26306.78</v>
      </c>
      <c r="H82" s="265" t="n">
        <v>1841.47</v>
      </c>
      <c r="I82" s="265">
        <f>G82+H82</f>
        <v/>
      </c>
      <c r="J82" s="297" t="inlineStr">
        <is>
          <t>VPO</t>
        </is>
      </c>
      <c r="K82" s="279" t="n"/>
      <c r="L82" s="236" t="n"/>
    </row>
    <row r="83">
      <c r="A83" s="272" t="inlineStr">
        <is>
          <t>03.12.2026</t>
        </is>
      </c>
      <c r="B83" s="274" t="n">
        <v>-3397</v>
      </c>
      <c r="C83" s="197" t="inlineStr">
        <is>
          <t>EA</t>
        </is>
      </c>
      <c r="D83" s="179" t="inlineStr">
        <is>
          <t>COMPOSITE TREX BASIC 5-1/2X12'</t>
        </is>
      </c>
      <c r="E83" s="274">
        <f>B83</f>
        <v/>
      </c>
      <c r="F83" s="183" t="n">
        <v>27</v>
      </c>
      <c r="G83" s="183" t="n">
        <v>-91719</v>
      </c>
      <c r="H83" s="273" t="n">
        <v>-221.46</v>
      </c>
      <c r="I83" s="273">
        <f>SUM(G83:G86)+H83</f>
        <v/>
      </c>
      <c r="J83" s="293" t="inlineStr">
        <is>
          <t>VPO</t>
        </is>
      </c>
      <c r="K83" s="183">
        <f>G83*1.07</f>
        <v/>
      </c>
      <c r="L83" s="244" t="n"/>
    </row>
    <row r="84">
      <c r="A84" s="243" t="n"/>
      <c r="B84" s="274" t="n">
        <v>2547</v>
      </c>
      <c r="C84" s="197" t="inlineStr">
        <is>
          <t>EA</t>
        </is>
      </c>
      <c r="D84" s="179" t="inlineStr">
        <is>
          <t>COMPOSITE TREX BASIC - SADDLE 5-1/2X16'</t>
        </is>
      </c>
      <c r="E84" s="274">
        <f>B84</f>
        <v/>
      </c>
      <c r="F84" s="183" t="n">
        <v>30.75</v>
      </c>
      <c r="G84" s="183" t="n">
        <v>78320.25</v>
      </c>
      <c r="H84" s="243" t="n"/>
      <c r="I84" s="243" t="n"/>
      <c r="J84" s="243" t="n"/>
      <c r="K84" s="183">
        <f>G84*1.07</f>
        <v/>
      </c>
      <c r="L84" s="244" t="n"/>
    </row>
    <row r="85">
      <c r="A85" s="243" t="n"/>
      <c r="B85" s="274" t="n">
        <v>9</v>
      </c>
      <c r="C85" s="197" t="inlineStr">
        <is>
          <t>EA</t>
        </is>
      </c>
      <c r="D85" s="179" t="inlineStr">
        <is>
          <t>TREX COLOR MATCH SCREWS PAIL</t>
        </is>
      </c>
      <c r="E85" s="274">
        <f>B85</f>
        <v/>
      </c>
      <c r="F85" s="183" t="n">
        <v>460</v>
      </c>
      <c r="G85" s="183" t="n">
        <v>4140</v>
      </c>
      <c r="H85" s="243" t="n"/>
      <c r="I85" s="243" t="n"/>
      <c r="J85" s="243" t="n"/>
      <c r="K85" s="183">
        <f>G85*1.07</f>
        <v/>
      </c>
      <c r="L85" s="244" t="n"/>
    </row>
    <row r="86">
      <c r="A86" s="362" t="n"/>
      <c r="B86" s="274" t="n">
        <v>23</v>
      </c>
      <c r="C86" s="197" t="inlineStr">
        <is>
          <t>EA</t>
        </is>
      </c>
      <c r="D86" s="179" t="inlineStr">
        <is>
          <t>TREX HIDDEN FASTENERS BUCKET</t>
        </is>
      </c>
      <c r="E86" s="274">
        <f>B86</f>
        <v/>
      </c>
      <c r="F86" s="183" t="n">
        <v>265</v>
      </c>
      <c r="G86" s="183" t="n">
        <v>6095</v>
      </c>
      <c r="H86" s="362" t="n"/>
      <c r="I86" s="362" t="n"/>
      <c r="J86" s="362" t="n"/>
      <c r="K86" s="183">
        <f>G86*1.07</f>
        <v/>
      </c>
      <c r="L86" s="244" t="n"/>
    </row>
    <row r="87">
      <c r="A87" s="263" t="inlineStr">
        <is>
          <t>03.13.2026</t>
        </is>
      </c>
      <c r="B87" s="279" t="n">
        <v>34944</v>
      </c>
      <c r="C87" s="280" t="inlineStr">
        <is>
          <t>LF</t>
        </is>
      </c>
      <c r="D87" s="224" t="inlineStr">
        <is>
          <t>SYP DRY #2/BTR S4S 2X4XR/L</t>
        </is>
      </c>
      <c r="E87" s="279" t="n">
        <v>23296</v>
      </c>
      <c r="F87" s="257" t="n">
        <v>635</v>
      </c>
      <c r="G87" s="257" t="n">
        <v>14792.96</v>
      </c>
      <c r="H87" s="259" t="n">
        <v>1035.51</v>
      </c>
      <c r="I87" s="259">
        <f>G87+H87</f>
        <v/>
      </c>
      <c r="J87" s="296" t="inlineStr">
        <is>
          <t>VPO</t>
        </is>
      </c>
      <c r="K87" s="257" t="n"/>
      <c r="L87" s="244" t="n"/>
    </row>
    <row r="88">
      <c r="A88" s="284" t="inlineStr">
        <is>
          <t>03.26.2026</t>
        </is>
      </c>
      <c r="B88" s="274" t="n">
        <v>100</v>
      </c>
      <c r="C88" s="197" t="inlineStr">
        <is>
          <t>EA</t>
        </is>
      </c>
      <c r="D88" s="190" t="inlineStr">
        <is>
          <t>6"X50' BT20-XL</t>
        </is>
      </c>
      <c r="E88" s="274" t="n">
        <v>100</v>
      </c>
      <c r="F88" s="183" t="n">
        <v>30</v>
      </c>
      <c r="G88" s="183" t="n">
        <v>3000</v>
      </c>
      <c r="H88" s="273" t="n">
        <v>472.5</v>
      </c>
      <c r="I88" s="273">
        <f>G88+G89+H88</f>
        <v/>
      </c>
      <c r="J88" s="293" t="inlineStr">
        <is>
          <t>VPO</t>
        </is>
      </c>
      <c r="K88" s="183">
        <f>G88*1.07</f>
        <v/>
      </c>
      <c r="L88" s="181" t="n"/>
    </row>
    <row r="89">
      <c r="A89" s="362" t="n"/>
      <c r="B89" s="274" t="n">
        <v>100</v>
      </c>
      <c r="C89" s="197" t="inlineStr">
        <is>
          <t>EA</t>
        </is>
      </c>
      <c r="D89" s="190" t="inlineStr">
        <is>
          <t>TYVEK FLUID COMPOUND</t>
        </is>
      </c>
      <c r="E89" s="274" t="n">
        <v>100</v>
      </c>
      <c r="F89" s="183" t="n">
        <v>37.5</v>
      </c>
      <c r="G89" s="183" t="n">
        <v>3750</v>
      </c>
      <c r="H89" s="362" t="n"/>
      <c r="I89" s="362" t="n"/>
      <c r="J89" s="362" t="n"/>
      <c r="K89" s="183">
        <f>G89*1.07</f>
        <v/>
      </c>
      <c r="L89" s="181" t="n"/>
    </row>
    <row r="90">
      <c r="A90" s="284" t="inlineStr">
        <is>
          <t>04.02.2026</t>
        </is>
      </c>
      <c r="B90" s="274" t="n">
        <v>831</v>
      </c>
      <c r="C90" s="197" t="inlineStr">
        <is>
          <t>EA</t>
        </is>
      </c>
      <c r="D90" s="190" t="inlineStr">
        <is>
          <t xml:space="preserve">23/32" 4X8 OSB T&amp;G </t>
        </is>
      </c>
      <c r="E90" s="274" t="n">
        <v>26592</v>
      </c>
      <c r="F90" s="183" t="n">
        <v>695</v>
      </c>
      <c r="G90" s="183" t="n">
        <v>18481.44</v>
      </c>
      <c r="H90" s="273" t="n">
        <v>1293.7</v>
      </c>
      <c r="I90" s="273">
        <f>G90+H90</f>
        <v/>
      </c>
      <c r="J90" s="293" t="inlineStr">
        <is>
          <t>VPO</t>
        </is>
      </c>
      <c r="K90" s="183" t="n"/>
      <c r="L90" s="181" t="n"/>
    </row>
    <row r="91">
      <c r="A91" s="286" t="inlineStr">
        <is>
          <t>04.09.2026</t>
        </is>
      </c>
      <c r="B91" s="279" t="n">
        <v>2400</v>
      </c>
      <c r="C91" s="280" t="inlineStr">
        <is>
          <t xml:space="preserve">PC </t>
        </is>
      </c>
      <c r="D91" s="224" t="inlineStr">
        <is>
          <t>SYP DRY #2 STUD PET 104-5/8" 2X6X9</t>
        </is>
      </c>
      <c r="E91" s="279" t="n">
        <v>21600</v>
      </c>
      <c r="F91" s="257" t="n">
        <v>635</v>
      </c>
      <c r="G91" s="257" t="n">
        <v>13716</v>
      </c>
      <c r="H91" s="259" t="n">
        <v>960.12</v>
      </c>
      <c r="I91" s="259">
        <f>G91+H91</f>
        <v/>
      </c>
      <c r="J91" s="296" t="inlineStr">
        <is>
          <t>VPO 16</t>
        </is>
      </c>
      <c r="K91" s="273" t="n"/>
      <c r="L91" s="247" t="n"/>
    </row>
    <row r="92">
      <c r="A92" s="284" t="inlineStr">
        <is>
          <t>4.14.2026</t>
        </is>
      </c>
      <c r="B92" s="274" t="n">
        <v>324</v>
      </c>
      <c r="C92" s="197" t="inlineStr">
        <is>
          <t>LF</t>
        </is>
      </c>
      <c r="D92" s="190" t="inlineStr">
        <is>
          <t>1-3/4X11-7/8 LVL MCA TREATED 18/18</t>
        </is>
      </c>
      <c r="E92" s="274" t="n">
        <v>324</v>
      </c>
      <c r="F92" s="183" t="n">
        <v>16</v>
      </c>
      <c r="G92" s="183" t="n">
        <v>5184</v>
      </c>
      <c r="H92" s="273" t="n">
        <v>362.88</v>
      </c>
      <c r="I92" s="273">
        <f>G92+H92</f>
        <v/>
      </c>
      <c r="J92" s="294" t="inlineStr">
        <is>
          <t>VPO 17</t>
        </is>
      </c>
      <c r="K92" s="183">
        <f>G92*1.07</f>
        <v/>
      </c>
      <c r="L92" s="181" t="n">
        <v>11</v>
      </c>
    </row>
    <row r="93">
      <c r="A93" s="284" t="inlineStr">
        <is>
          <t>4.14.2026</t>
        </is>
      </c>
      <c r="B93" s="274" t="n">
        <v>24</v>
      </c>
      <c r="C93" s="197" t="inlineStr">
        <is>
          <t xml:space="preserve">PC </t>
        </is>
      </c>
      <c r="D93" s="190" t="inlineStr">
        <is>
          <t>23/32" 4X8 PLYWOOD FRT</t>
        </is>
      </c>
      <c r="E93" s="274" t="n">
        <v>768</v>
      </c>
      <c r="F93" s="183" t="n">
        <v>1705</v>
      </c>
      <c r="G93" s="183" t="n">
        <v>1309.44</v>
      </c>
      <c r="H93" s="273" t="n">
        <v>91.66</v>
      </c>
      <c r="I93" s="273">
        <f>G93+H93</f>
        <v/>
      </c>
      <c r="J93" s="294" t="inlineStr">
        <is>
          <t>VPO 18</t>
        </is>
      </c>
      <c r="K93" s="183">
        <f>G93*1.07</f>
        <v/>
      </c>
      <c r="L93" s="181" t="n">
        <v>11</v>
      </c>
    </row>
    <row r="94">
      <c r="A94" s="284" t="inlineStr">
        <is>
          <t>04.21.2026</t>
        </is>
      </c>
      <c r="B94" s="274" t="n">
        <v>32448</v>
      </c>
      <c r="C94" s="197" t="inlineStr">
        <is>
          <t>LF</t>
        </is>
      </c>
      <c r="D94" s="190" t="inlineStr">
        <is>
          <t>SYP DRY #2/BTR S4S 2X4XR/L</t>
        </is>
      </c>
      <c r="E94" s="274" t="n">
        <v>21632</v>
      </c>
      <c r="F94" s="183" t="n">
        <v>685</v>
      </c>
      <c r="G94" s="183" t="n">
        <v>14817.92</v>
      </c>
      <c r="H94" s="273" t="n">
        <v>1204.41</v>
      </c>
      <c r="I94" s="273">
        <f>G94+G95+H94</f>
        <v/>
      </c>
      <c r="J94" s="369" t="inlineStr">
        <is>
          <t>VPO 18</t>
        </is>
      </c>
      <c r="K94" s="183">
        <f>G94*1.07</f>
        <v/>
      </c>
      <c r="L94" s="181" t="n">
        <v>11</v>
      </c>
    </row>
    <row r="95">
      <c r="A95" s="362" t="n"/>
      <c r="B95" s="274" t="n">
        <v>240</v>
      </c>
      <c r="C95" s="197" t="inlineStr">
        <is>
          <t>EA</t>
        </is>
      </c>
      <c r="D95" s="190" t="inlineStr">
        <is>
          <t>DAP SILICONE MAX 10.1 OZ</t>
        </is>
      </c>
      <c r="E95" s="274" t="n">
        <v>240</v>
      </c>
      <c r="F95" s="183" t="n">
        <v>9.949999999999999</v>
      </c>
      <c r="G95" s="183" t="n">
        <v>2388</v>
      </c>
      <c r="H95" s="362" t="n"/>
      <c r="I95" s="362" t="n"/>
      <c r="J95" s="362" t="n"/>
      <c r="K95" s="183">
        <f>G95*1.07</f>
        <v/>
      </c>
      <c r="L95" s="181" t="n">
        <v>11</v>
      </c>
    </row>
    <row r="96">
      <c r="A96" s="284" t="inlineStr">
        <is>
          <t>04.22.2026</t>
        </is>
      </c>
      <c r="B96" s="274" t="n">
        <v>26702</v>
      </c>
      <c r="C96" s="197" t="inlineStr">
        <is>
          <t>LF</t>
        </is>
      </c>
      <c r="D96" s="190" t="inlineStr">
        <is>
          <t xml:space="preserve">SYP DRY #2/BTR S4S 2X6XR/L </t>
        </is>
      </c>
      <c r="E96" s="274" t="n">
        <v>26702</v>
      </c>
      <c r="F96" s="183" t="n">
        <v>635</v>
      </c>
      <c r="G96" s="183" t="n">
        <v>16955.77</v>
      </c>
      <c r="H96" s="273" t="n">
        <v>4274.38</v>
      </c>
      <c r="I96" s="273">
        <f>G96+G97+G98+G99+H96</f>
        <v/>
      </c>
      <c r="J96" s="285" t="inlineStr">
        <is>
          <t>VPO 19</t>
        </is>
      </c>
      <c r="K96" s="183">
        <f>G96*1.07</f>
        <v/>
      </c>
      <c r="L96" s="181" t="inlineStr">
        <is>
          <t>72- Sub-fascia specification changed from 2×10 to 2×6 across all buildings. This CO line item (26,702 LF + 2,688 PC) covers that scope addition.</t>
        </is>
      </c>
    </row>
    <row r="97">
      <c r="A97" s="243" t="n"/>
      <c r="B97" s="274" t="n">
        <v>5163</v>
      </c>
      <c r="C97" s="197" t="inlineStr">
        <is>
          <t xml:space="preserve">PC </t>
        </is>
      </c>
      <c r="D97" s="190" t="inlineStr">
        <is>
          <t>SYP DRY #2 STUD PET 104-5/8" 2X4X9</t>
        </is>
      </c>
      <c r="E97" s="274" t="n">
        <v>30978</v>
      </c>
      <c r="F97" s="183" t="n">
        <v>635</v>
      </c>
      <c r="G97" s="183" t="n">
        <v>19671.03</v>
      </c>
      <c r="H97" s="243" t="n"/>
      <c r="I97" s="243" t="n"/>
      <c r="J97" s="243" t="n"/>
      <c r="K97" s="183">
        <f>G97*1.07</f>
        <v/>
      </c>
      <c r="L97" s="181" t="n">
        <v>11</v>
      </c>
    </row>
    <row r="98">
      <c r="A98" s="243" t="n"/>
      <c r="B98" s="274" t="n">
        <v>2688</v>
      </c>
      <c r="C98" s="197" t="inlineStr">
        <is>
          <t xml:space="preserve">PC </t>
        </is>
      </c>
      <c r="D98" s="190" t="inlineStr">
        <is>
          <t>SYP DRY #2 STUD PET 104-5/8" 2X6X9</t>
        </is>
      </c>
      <c r="E98" s="274" t="n">
        <v>24192</v>
      </c>
      <c r="F98" s="183" t="n">
        <v>635</v>
      </c>
      <c r="G98" s="183" t="n">
        <v>15361.92</v>
      </c>
      <c r="H98" s="243" t="n"/>
      <c r="I98" s="243" t="n"/>
      <c r="J98" s="243" t="n"/>
      <c r="K98" s="183">
        <f>G98*1.07</f>
        <v/>
      </c>
      <c r="L98" s="181">
        <f>L96</f>
        <v/>
      </c>
    </row>
    <row r="99">
      <c r="A99" s="362" t="n"/>
      <c r="B99" s="274" t="n">
        <v>408</v>
      </c>
      <c r="C99" s="197" t="inlineStr">
        <is>
          <t xml:space="preserve">PC </t>
        </is>
      </c>
      <c r="D99" s="190" t="inlineStr">
        <is>
          <t xml:space="preserve">23/32" 4X8 OSB T&amp;G </t>
        </is>
      </c>
      <c r="E99" s="274" t="n">
        <v>13056</v>
      </c>
      <c r="F99" s="183" t="n">
        <v>695</v>
      </c>
      <c r="G99" s="183" t="n">
        <v>9073.92</v>
      </c>
      <c r="H99" s="362" t="n"/>
      <c r="I99" s="362" t="n"/>
      <c r="J99" s="362" t="n"/>
      <c r="K99" s="183">
        <f>G99*1.07</f>
        <v/>
      </c>
      <c r="L99" s="181" t="n">
        <v>11</v>
      </c>
    </row>
    <row r="100">
      <c r="A100" s="289" t="inlineStr">
        <is>
          <t>04.24.2026</t>
        </is>
      </c>
      <c r="B100" s="274" t="n">
        <v>100</v>
      </c>
      <c r="C100" s="197" t="inlineStr">
        <is>
          <t>EA</t>
        </is>
      </c>
      <c r="D100" s="190" t="inlineStr">
        <is>
          <t>MTL HD HEAD FLASHING</t>
        </is>
      </c>
      <c r="E100" s="274" t="n">
        <v>100</v>
      </c>
      <c r="F100" s="183" t="n">
        <v>10.55</v>
      </c>
      <c r="G100" s="183" t="n">
        <v>1055</v>
      </c>
      <c r="H100" s="260" t="n">
        <v>73.84999999999999</v>
      </c>
      <c r="I100" s="260">
        <f>G100+H100</f>
        <v/>
      </c>
      <c r="J100" s="292" t="inlineStr">
        <is>
          <t>VPO 20</t>
        </is>
      </c>
      <c r="K100" s="183">
        <f>G100*1.07</f>
        <v/>
      </c>
      <c r="L100" s="181" t="n">
        <v>11</v>
      </c>
    </row>
    <row r="101">
      <c r="A101" s="289" t="inlineStr">
        <is>
          <t>04.29.2026</t>
        </is>
      </c>
      <c r="B101" s="274" t="n">
        <v>168</v>
      </c>
      <c r="C101" s="197" t="inlineStr">
        <is>
          <t xml:space="preserve">PC </t>
        </is>
      </c>
      <c r="D101" s="190" t="inlineStr">
        <is>
          <t>TYVEK COMMERCIAL WRAP D</t>
        </is>
      </c>
      <c r="E101" s="274" t="n">
        <v>168</v>
      </c>
      <c r="F101" s="183" t="n">
        <v>365</v>
      </c>
      <c r="G101" s="183" t="n">
        <v>61320</v>
      </c>
      <c r="H101" s="260" t="n">
        <v>4292.4</v>
      </c>
      <c r="I101" s="260" t="n">
        <v>65612.39999999999</v>
      </c>
      <c r="J101" s="292" t="inlineStr">
        <is>
          <t>VPO 21</t>
        </is>
      </c>
      <c r="K101" s="183">
        <f>G101*1.07</f>
        <v/>
      </c>
      <c r="L101" s="181" t="n">
        <v>11</v>
      </c>
    </row>
    <row r="102">
      <c r="A102" s="284" t="inlineStr">
        <is>
          <t>04.30.2026</t>
        </is>
      </c>
      <c r="B102" s="274" t="n">
        <v>34944</v>
      </c>
      <c r="C102" s="197" t="inlineStr">
        <is>
          <t>LF</t>
        </is>
      </c>
      <c r="D102" s="190" t="inlineStr">
        <is>
          <t>SYP DRY #2/BTR S4S 2X4XR/L</t>
        </is>
      </c>
      <c r="E102" s="274" t="n">
        <v>23296</v>
      </c>
      <c r="F102" s="183" t="n">
        <v>685</v>
      </c>
      <c r="G102" s="183" t="n">
        <v>15957.76</v>
      </c>
      <c r="H102" s="273" t="n">
        <v>2291.95</v>
      </c>
      <c r="I102" s="273" t="n">
        <v>35034.03</v>
      </c>
      <c r="J102" s="285" t="inlineStr">
        <is>
          <t>VPO 22</t>
        </is>
      </c>
      <c r="K102" s="183">
        <f>G102*1.07</f>
        <v/>
      </c>
      <c r="L102" s="181" t="n">
        <v>11</v>
      </c>
    </row>
    <row r="103">
      <c r="A103" s="243" t="n"/>
      <c r="B103" s="274" t="n">
        <v>4160</v>
      </c>
      <c r="C103" s="197" t="inlineStr">
        <is>
          <t xml:space="preserve">PC </t>
        </is>
      </c>
      <c r="D103" s="190" t="inlineStr">
        <is>
          <t>SYP DRY #2 STUD PET 104-5/8" 2X4X9</t>
        </is>
      </c>
      <c r="E103" s="274" t="n">
        <v>24960</v>
      </c>
      <c r="F103" s="183" t="n">
        <v>635</v>
      </c>
      <c r="G103" s="183" t="n">
        <v>15849.6</v>
      </c>
      <c r="H103" s="243" t="n"/>
      <c r="I103" s="243" t="n"/>
      <c r="J103" s="243" t="n"/>
      <c r="K103" s="183">
        <f>G103*1.07</f>
        <v/>
      </c>
      <c r="L103" s="181" t="n">
        <v>11</v>
      </c>
    </row>
    <row r="104">
      <c r="A104" s="362" t="n"/>
      <c r="B104" s="274" t="n">
        <v>46</v>
      </c>
      <c r="C104" s="197" t="inlineStr">
        <is>
          <t xml:space="preserve">PC </t>
        </is>
      </c>
      <c r="D104" s="190" t="inlineStr">
        <is>
          <t>19/32" 4X8 OSB SE</t>
        </is>
      </c>
      <c r="E104" s="274" t="n">
        <v>1472</v>
      </c>
      <c r="F104" s="183" t="n">
        <v>635</v>
      </c>
      <c r="G104" s="183" t="n">
        <v>934.72</v>
      </c>
      <c r="H104" s="362" t="n"/>
      <c r="I104" s="362" t="n"/>
      <c r="J104" s="362" t="n"/>
      <c r="K104" s="183">
        <f>G104*1.07</f>
        <v/>
      </c>
      <c r="L104" s="181" t="n">
        <v>11</v>
      </c>
    </row>
    <row r="105">
      <c r="A105" s="289" t="inlineStr">
        <is>
          <t>05.04.2026</t>
        </is>
      </c>
      <c r="B105" s="274" t="n">
        <v>1296</v>
      </c>
      <c r="C105" s="197" t="inlineStr">
        <is>
          <t>EA</t>
        </is>
      </c>
      <c r="D105" s="190" t="inlineStr">
        <is>
          <t>DYNAFLEX 800 10.1 OZ</t>
        </is>
      </c>
      <c r="E105" s="274" t="n">
        <v>1296</v>
      </c>
      <c r="F105" s="183" t="n">
        <v>5.5</v>
      </c>
      <c r="G105" s="183" t="n">
        <v>7128</v>
      </c>
      <c r="H105" s="260" t="n">
        <v>498.96</v>
      </c>
      <c r="I105" s="260">
        <f>G105+H105</f>
        <v/>
      </c>
      <c r="J105" s="292" t="inlineStr">
        <is>
          <t>VPO 23</t>
        </is>
      </c>
      <c r="K105" s="183">
        <f>G105*1.07</f>
        <v/>
      </c>
      <c r="L105" s="181" t="n">
        <v>11</v>
      </c>
    </row>
    <row r="106">
      <c r="A106" s="287" t="inlineStr">
        <is>
          <t>05.06.2026</t>
        </is>
      </c>
      <c r="B106" s="279" t="n">
        <v>1270</v>
      </c>
      <c r="C106" s="280" t="inlineStr">
        <is>
          <t xml:space="preserve">PC </t>
        </is>
      </c>
      <c r="D106" s="224" t="inlineStr">
        <is>
          <t>7/16" 4X9 OSB</t>
        </is>
      </c>
      <c r="E106" s="279" t="n">
        <v>45720</v>
      </c>
      <c r="F106" s="257" t="n">
        <v>415</v>
      </c>
      <c r="G106" s="257" t="n">
        <v>18973</v>
      </c>
      <c r="H106" s="265" t="n">
        <v>1328.17</v>
      </c>
      <c r="I106" s="265">
        <f>G106+H106</f>
        <v/>
      </c>
      <c r="J106" s="291" t="inlineStr">
        <is>
          <t>VPO 24</t>
        </is>
      </c>
      <c r="K106" s="257">
        <f>G106*1.07</f>
        <v/>
      </c>
      <c r="L106" s="181" t="n">
        <v>11</v>
      </c>
    </row>
    <row r="107">
      <c r="A107" s="284" t="inlineStr">
        <is>
          <t>05.11.2026</t>
        </is>
      </c>
      <c r="B107" s="274" t="n">
        <v>300</v>
      </c>
      <c r="C107" s="197" t="inlineStr">
        <is>
          <t>EA</t>
        </is>
      </c>
      <c r="D107" s="190" t="inlineStr">
        <is>
          <t>12'X75' TYVEK FLASHING</t>
        </is>
      </c>
      <c r="E107" s="274" t="n">
        <v>300</v>
      </c>
      <c r="F107" s="183" t="n">
        <v>92</v>
      </c>
      <c r="G107" s="183" t="n">
        <v>27600</v>
      </c>
      <c r="H107" s="273" t="n">
        <v>-1596</v>
      </c>
      <c r="I107" s="273">
        <f>H107+G107+G108</f>
        <v/>
      </c>
      <c r="J107" s="285" t="inlineStr">
        <is>
          <t>VPO 15</t>
        </is>
      </c>
      <c r="K107" s="183">
        <f>G107*1.07</f>
        <v/>
      </c>
      <c r="L107" s="181" t="n">
        <v>11</v>
      </c>
    </row>
    <row r="108">
      <c r="A108" s="362" t="n"/>
      <c r="B108" s="274" t="n">
        <v>-300</v>
      </c>
      <c r="C108" s="197" t="inlineStr">
        <is>
          <t>EA</t>
        </is>
      </c>
      <c r="D108" s="190" t="inlineStr">
        <is>
          <t>9"X75' TYVEK FLEX TAPE</t>
        </is>
      </c>
      <c r="E108" s="274" t="n">
        <v>-300</v>
      </c>
      <c r="F108" s="183" t="n">
        <v>168</v>
      </c>
      <c r="G108" s="183" t="n">
        <v>-50400</v>
      </c>
      <c r="H108" s="362" t="n"/>
      <c r="I108" s="362" t="n"/>
      <c r="J108" s="362" t="n"/>
      <c r="K108" s="183">
        <f>G108*1.07</f>
        <v/>
      </c>
      <c r="L108" s="181" t="n">
        <v>11</v>
      </c>
    </row>
    <row r="109">
      <c r="A109" s="284" t="inlineStr">
        <is>
          <t>05.13.2026</t>
        </is>
      </c>
      <c r="B109" s="274" t="n">
        <v>100</v>
      </c>
      <c r="C109" s="197" t="inlineStr">
        <is>
          <t>EA</t>
        </is>
      </c>
      <c r="D109" s="190" t="inlineStr">
        <is>
          <t>MTL HD HEAD FLASHING</t>
        </is>
      </c>
      <c r="E109" s="274" t="n">
        <v>100</v>
      </c>
      <c r="F109" s="183" t="n">
        <v>10.55</v>
      </c>
      <c r="G109" s="183" t="n">
        <v>1055</v>
      </c>
      <c r="H109" s="273">
        <f>G109*0.07</f>
        <v/>
      </c>
      <c r="I109" s="273">
        <f>G109+H109</f>
        <v/>
      </c>
      <c r="J109" s="285" t="inlineStr">
        <is>
          <t>VPO 25</t>
        </is>
      </c>
      <c r="K109" s="183">
        <f>G109*1.07</f>
        <v/>
      </c>
      <c r="L109" s="181" t="n">
        <v>11</v>
      </c>
      <c r="M109" s="181" t="n"/>
    </row>
    <row r="110">
      <c r="A110" s="284" t="inlineStr">
        <is>
          <t>05.13.2026</t>
        </is>
      </c>
      <c r="B110" s="274" t="n">
        <v>44</v>
      </c>
      <c r="C110" s="197" t="inlineStr">
        <is>
          <t>EA</t>
        </is>
      </c>
      <c r="D110" s="190" t="inlineStr">
        <is>
          <t>6"X50' BT20-XL</t>
        </is>
      </c>
      <c r="E110" s="274" t="n">
        <v>44</v>
      </c>
      <c r="F110" s="183" t="n">
        <v>30</v>
      </c>
      <c r="G110" s="183" t="n">
        <v>1320</v>
      </c>
      <c r="H110" s="273" t="n">
        <v>92.40000000000001</v>
      </c>
      <c r="I110" s="273">
        <f>G110+H110</f>
        <v/>
      </c>
      <c r="J110" s="285" t="inlineStr">
        <is>
          <t>VPO 26</t>
        </is>
      </c>
      <c r="K110" s="183">
        <f>G110*1.07</f>
        <v/>
      </c>
      <c r="L110" s="181" t="n">
        <v>11</v>
      </c>
      <c r="M110" t="inlineStr">
        <is>
          <t>Housewrap</t>
        </is>
      </c>
    </row>
    <row r="111">
      <c r="A111" s="284" t="inlineStr">
        <is>
          <t>05.19.2026</t>
        </is>
      </c>
      <c r="B111" s="274" t="n">
        <v>1086</v>
      </c>
      <c r="C111" s="197" t="inlineStr">
        <is>
          <t>EA</t>
        </is>
      </c>
      <c r="D111" s="190" t="inlineStr">
        <is>
          <t>19/32" 4X8 OSB SE</t>
        </is>
      </c>
      <c r="E111" s="274" t="n">
        <v>1086</v>
      </c>
      <c r="F111" s="183" t="n">
        <v>635</v>
      </c>
      <c r="G111" s="183" t="n">
        <v>22067.52</v>
      </c>
      <c r="H111" s="273" t="n">
        <v>1544.73</v>
      </c>
      <c r="I111" s="273">
        <f>G111+H111</f>
        <v/>
      </c>
      <c r="J111" s="285" t="inlineStr">
        <is>
          <t>VPO 27</t>
        </is>
      </c>
      <c r="K111" s="183">
        <f>G111*1.07</f>
        <v/>
      </c>
      <c r="L111" s="181" t="n">
        <v>11</v>
      </c>
    </row>
    <row r="112">
      <c r="A112" s="286" t="inlineStr">
        <is>
          <t>5.20.2026</t>
        </is>
      </c>
      <c r="B112" s="279" t="n">
        <v>208</v>
      </c>
      <c r="C112" s="280" t="inlineStr">
        <is>
          <t>EA</t>
        </is>
      </c>
      <c r="D112" s="224" t="inlineStr">
        <is>
          <t>12'X75' TYVEK FLASHING</t>
        </is>
      </c>
      <c r="E112" s="279" t="n">
        <v>208</v>
      </c>
      <c r="F112" s="257" t="n">
        <v>92</v>
      </c>
      <c r="G112" s="257" t="n">
        <v>19136</v>
      </c>
      <c r="H112" s="259" t="n">
        <v>1339.52</v>
      </c>
      <c r="I112" s="259">
        <f>G112+H112</f>
        <v/>
      </c>
      <c r="J112" s="290" t="inlineStr">
        <is>
          <t>VPO 28</t>
        </is>
      </c>
      <c r="K112" s="257">
        <f>G112*1.07</f>
        <v/>
      </c>
      <c r="L112" s="181" t="n">
        <v>11</v>
      </c>
    </row>
    <row r="113">
      <c r="A113" s="286" t="inlineStr">
        <is>
          <t>06.08.2026</t>
        </is>
      </c>
      <c r="B113" s="274" t="n">
        <v>330</v>
      </c>
      <c r="C113" s="197" t="inlineStr">
        <is>
          <t xml:space="preserve">PC </t>
        </is>
      </c>
      <c r="D113" s="190" t="inlineStr">
        <is>
          <t>19/32" 4X8 OSB SE</t>
        </is>
      </c>
      <c r="E113" s="274" t="n">
        <v>10560</v>
      </c>
      <c r="F113" s="183" t="n">
        <v>635</v>
      </c>
      <c r="G113" s="183" t="n">
        <v>6705.6</v>
      </c>
      <c r="H113" s="259" t="n">
        <v>808.23</v>
      </c>
      <c r="I113" s="259">
        <f>G113+G114+H113</f>
        <v/>
      </c>
      <c r="J113" s="280" t="inlineStr">
        <is>
          <t>VPO 29</t>
        </is>
      </c>
      <c r="K113" s="257">
        <f>G113*1.07</f>
        <v/>
      </c>
      <c r="L113" s="181" t="n">
        <v>11</v>
      </c>
    </row>
    <row r="114">
      <c r="A114" s="243" t="n"/>
      <c r="B114" s="279" t="n">
        <v>324</v>
      </c>
      <c r="C114" s="280" t="inlineStr">
        <is>
          <t xml:space="preserve">PC </t>
        </is>
      </c>
      <c r="D114" s="224" t="inlineStr">
        <is>
          <t>7/16" 4X9 OSB</t>
        </is>
      </c>
      <c r="E114" s="279" t="n">
        <v>11664</v>
      </c>
      <c r="F114" s="257" t="n">
        <v>415</v>
      </c>
      <c r="G114" s="257" t="n">
        <v>4840.56</v>
      </c>
      <c r="H114" s="243" t="n"/>
      <c r="I114" s="243" t="n"/>
      <c r="J114" s="243" t="n"/>
      <c r="K114" s="257">
        <f>G114*1.07</f>
        <v/>
      </c>
      <c r="L114" s="181" t="n">
        <v>11</v>
      </c>
    </row>
    <row r="115">
      <c r="A115" s="284" t="inlineStr">
        <is>
          <t>06.10.2026</t>
        </is>
      </c>
      <c r="B115" s="274" t="n">
        <v>500</v>
      </c>
      <c r="C115" s="197" t="inlineStr">
        <is>
          <t>EA</t>
        </is>
      </c>
      <c r="D115" s="190" t="inlineStr">
        <is>
          <t>MTL HD HEAD FLASHING</t>
        </is>
      </c>
      <c r="E115" s="274">
        <f>B115</f>
        <v/>
      </c>
      <c r="F115" s="183" t="n">
        <v>10.55</v>
      </c>
      <c r="G115" s="183">
        <f>E115*F115</f>
        <v/>
      </c>
      <c r="H115" s="273">
        <f>G115*0.07</f>
        <v/>
      </c>
      <c r="I115" s="273">
        <f>G115+H115</f>
        <v/>
      </c>
      <c r="J115" s="285" t="inlineStr">
        <is>
          <t>VPO 30</t>
        </is>
      </c>
      <c r="K115" s="183">
        <f>G115*1.07</f>
        <v/>
      </c>
      <c r="L115" s="181" t="n">
        <v>11</v>
      </c>
      <c r="M115" s="181" t="n"/>
    </row>
    <row r="116">
      <c r="G116" s="227">
        <f>SUM(G40:G115)</f>
        <v/>
      </c>
      <c r="H116" s="227">
        <f>SUM(H40:H115)</f>
        <v/>
      </c>
      <c r="I116" s="227">
        <f>SUM(I40:I115)</f>
        <v/>
      </c>
      <c r="J116" s="181" t="n"/>
      <c r="O116" s="370" t="n"/>
    </row>
    <row r="117">
      <c r="B117" s="182" t="n"/>
      <c r="C117" s="237" t="n"/>
      <c r="E117" s="252" t="n"/>
      <c r="J117" s="181" t="n"/>
    </row>
    <row r="118">
      <c r="F118" s="252" t="n"/>
      <c r="I118" s="371" t="n"/>
      <c r="J118">
        <f>8198.04-7222.5</f>
        <v/>
      </c>
    </row>
  </sheetData>
  <autoFilter ref="A39:K116"/>
  <mergeCells count="105">
    <mergeCell ref="J60:J61"/>
    <mergeCell ref="H69:H71"/>
    <mergeCell ref="A57:A59"/>
    <mergeCell ref="I63:I65"/>
    <mergeCell ref="K57:K59"/>
    <mergeCell ref="A37:L37"/>
    <mergeCell ref="H83:H86"/>
    <mergeCell ref="I16:I17"/>
    <mergeCell ref="A16:A17"/>
    <mergeCell ref="H55:H56"/>
    <mergeCell ref="H11:H12"/>
    <mergeCell ref="J11:J12"/>
    <mergeCell ref="J83:J86"/>
    <mergeCell ref="J55:J56"/>
    <mergeCell ref="A74:A77"/>
    <mergeCell ref="H88:H89"/>
    <mergeCell ref="L55:L56"/>
    <mergeCell ref="A113:A114"/>
    <mergeCell ref="J20:J23"/>
    <mergeCell ref="H94:H95"/>
    <mergeCell ref="H49:H54"/>
    <mergeCell ref="J49:J54"/>
    <mergeCell ref="L40:L48"/>
    <mergeCell ref="H13:H14"/>
    <mergeCell ref="J94:J95"/>
    <mergeCell ref="I83:I86"/>
    <mergeCell ref="J69:J71"/>
    <mergeCell ref="I107:I108"/>
    <mergeCell ref="I60:I61"/>
    <mergeCell ref="H96:H99"/>
    <mergeCell ref="I40:I48"/>
    <mergeCell ref="J96:J99"/>
    <mergeCell ref="A83:A86"/>
    <mergeCell ref="J88:J89"/>
    <mergeCell ref="I28:I30"/>
    <mergeCell ref="K55:K56"/>
    <mergeCell ref="I102:I104"/>
    <mergeCell ref="H57:H59"/>
    <mergeCell ref="A88:A89"/>
    <mergeCell ref="L63:L65"/>
    <mergeCell ref="A78:A81"/>
    <mergeCell ref="J74:J77"/>
    <mergeCell ref="A5:L5"/>
    <mergeCell ref="J113:J114"/>
    <mergeCell ref="I96:I99"/>
    <mergeCell ref="J57:J59"/>
    <mergeCell ref="I57:I59"/>
    <mergeCell ref="A69:A71"/>
    <mergeCell ref="J28:J30"/>
    <mergeCell ref="H20:H23"/>
    <mergeCell ref="A107:A108"/>
    <mergeCell ref="I11:I12"/>
    <mergeCell ref="A11:A12"/>
    <mergeCell ref="A94:A95"/>
    <mergeCell ref="A8:A10"/>
    <mergeCell ref="J78:J81"/>
    <mergeCell ref="K20:K23"/>
    <mergeCell ref="I49:I54"/>
    <mergeCell ref="A63:A65"/>
    <mergeCell ref="K40:K48"/>
    <mergeCell ref="A49:A54"/>
    <mergeCell ref="A102:A104"/>
    <mergeCell ref="K28:K30"/>
    <mergeCell ref="K11:K12"/>
    <mergeCell ref="H74:H77"/>
    <mergeCell ref="I69:I71"/>
    <mergeCell ref="A28:A30"/>
    <mergeCell ref="J107:J108"/>
    <mergeCell ref="H60:H61"/>
    <mergeCell ref="L57:L59"/>
    <mergeCell ref="H8:H10"/>
    <mergeCell ref="J8:J10"/>
    <mergeCell ref="L60:L61"/>
    <mergeCell ref="A13:A14"/>
    <mergeCell ref="H16:H17"/>
    <mergeCell ref="H63:H65"/>
    <mergeCell ref="I88:I89"/>
    <mergeCell ref="A20:A23"/>
    <mergeCell ref="H102:H104"/>
    <mergeCell ref="I94:I95"/>
    <mergeCell ref="J102:J104"/>
    <mergeCell ref="H113:H114"/>
    <mergeCell ref="K16:K17"/>
    <mergeCell ref="I8:I10"/>
    <mergeCell ref="K8:K10"/>
    <mergeCell ref="H40:H48"/>
    <mergeCell ref="J13:J14"/>
    <mergeCell ref="J40:J48"/>
    <mergeCell ref="I74:I77"/>
    <mergeCell ref="K49:K54"/>
    <mergeCell ref="A60:A61"/>
    <mergeCell ref="H78:H81"/>
    <mergeCell ref="I113:I114"/>
    <mergeCell ref="H28:H30"/>
    <mergeCell ref="A55:A56"/>
    <mergeCell ref="J16:J17"/>
    <mergeCell ref="I55:I56"/>
    <mergeCell ref="I13:I14"/>
    <mergeCell ref="K13:K14"/>
    <mergeCell ref="I20:I23"/>
    <mergeCell ref="A40:A48"/>
    <mergeCell ref="I78:I81"/>
    <mergeCell ref="A96:A99"/>
    <mergeCell ref="H107:H108"/>
    <mergeCell ref="J63:J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186"/>
  <sheetViews>
    <sheetView workbookViewId="0">
      <pane ySplit="2" topLeftCell="A130" activePane="bottomLeft" state="frozen"/>
      <selection pane="bottomLeft" activeCell="M142" sqref="M142"/>
    </sheetView>
  </sheetViews>
  <sheetFormatPr baseColWidth="8" defaultColWidth="9.1328125" defaultRowHeight="12.75" customHeight="1"/>
  <cols>
    <col width="10.265625" customWidth="1" style="329" min="1" max="1"/>
    <col width="8.265625" customWidth="1" style="329" min="2" max="2"/>
    <col width="9.1328125" customWidth="1" style="329" min="3" max="3"/>
    <col width="10.3984375" customWidth="1" style="329" min="4" max="5"/>
    <col width="9.1328125" customWidth="1" style="329" min="6" max="42"/>
    <col width="9.1328125" customWidth="1" style="329" min="43" max="43"/>
    <col width="2.73046875" customWidth="1" style="329" min="44" max="44"/>
    <col width="2" bestFit="1" customWidth="1" style="329" min="45" max="45"/>
    <col width="2.86328125" bestFit="1" customWidth="1" style="329" min="46" max="46"/>
    <col width="6.3984375" bestFit="1" customWidth="1" style="329" min="47" max="47"/>
    <col width="31.59765625" customWidth="1" style="329" min="48" max="48"/>
    <col width="7.265625" bestFit="1" customWidth="1" style="329" min="49" max="49"/>
    <col width="9.1328125" customWidth="1" style="329" min="50" max="50"/>
    <col width="13.265625" customWidth="1" style="4" min="51" max="51"/>
    <col width="13.59765625" customWidth="1" style="4" min="52" max="52"/>
    <col width="14.59765625" bestFit="1" customWidth="1" style="4" min="53" max="53"/>
    <col width="12.265625" customWidth="1" style="329" min="54" max="54"/>
    <col width="13.59765625" customWidth="1" style="329" min="55" max="55"/>
    <col width="9.1328125" customWidth="1" style="329" min="56" max="56"/>
    <col width="12.86328125" bestFit="1" customWidth="1" style="329" min="57" max="57"/>
    <col width="9.1328125" bestFit="1" customWidth="1" style="329" min="58" max="58"/>
    <col width="12.73046875" customWidth="1" style="329" min="59" max="59"/>
    <col width="9.1328125" customWidth="1" style="329" min="60" max="74"/>
    <col width="9.1328125" bestFit="1" customWidth="1" style="329" min="75" max="75"/>
    <col width="9.1328125" customWidth="1" style="329" min="76" max="78"/>
    <col width="8.73046875" customWidth="1" style="329" min="79" max="79"/>
    <col width="9.1328125" customWidth="1" style="329" min="80" max="126"/>
    <col width="9.1328125" customWidth="1" style="329" min="127" max="127"/>
    <col width="10.59765625" bestFit="1" customWidth="1" style="329" min="128" max="128"/>
    <col width="12.59765625" customWidth="1" style="329" min="129" max="129"/>
    <col width="14.1328125" customWidth="1" style="3" min="130" max="130"/>
    <col width="9.3984375" bestFit="1" customWidth="1" style="2" min="131" max="131"/>
    <col width="12.86328125" bestFit="1" customWidth="1" style="329" min="132" max="132"/>
    <col width="15.86328125" customWidth="1" style="329" min="133" max="133"/>
    <col width="10.1328125" bestFit="1" customWidth="1" style="329" min="134" max="134"/>
    <col width="9.1328125" customWidth="1" style="329" min="135" max="135"/>
    <col width="5.59765625" bestFit="1" customWidth="1" style="329" min="136" max="136"/>
    <col width="3.86328125" bestFit="1" customWidth="1" style="329" min="137" max="137"/>
    <col width="9.1328125" customWidth="1" style="329" min="138" max="138"/>
    <col width="8" bestFit="1" customWidth="1" style="329" min="139" max="139"/>
    <col width="4.3984375" bestFit="1" customWidth="1" style="329" min="140" max="140"/>
    <col width="9.1328125" customWidth="1" style="329" min="141" max="142"/>
    <col width="6.3984375" bestFit="1" customWidth="1" style="329" min="143" max="143"/>
    <col width="9.1328125" customWidth="1" style="329" min="144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Club House</t>
        </is>
      </c>
      <c r="D1" s="349" t="inlineStr">
        <is>
          <t>CO 09.17.2025</t>
        </is>
      </c>
      <c r="E1" s="349" t="inlineStr">
        <is>
          <t>CO 11.11.2025</t>
        </is>
      </c>
      <c r="F1" s="349" t="inlineStr">
        <is>
          <t>CO 12.29.2025</t>
        </is>
      </c>
      <c r="G1" s="349" t="inlineStr">
        <is>
          <t>CO 1.12.2026</t>
        </is>
      </c>
      <c r="H1" s="349" t="inlineStr">
        <is>
          <t>CO 1.13.2026</t>
        </is>
      </c>
      <c r="I1" s="349" t="inlineStr">
        <is>
          <t>CO 1.20.2026</t>
        </is>
      </c>
      <c r="J1" s="349" t="inlineStr">
        <is>
          <t>CO 1.23.2026</t>
        </is>
      </c>
      <c r="K1" s="349" t="inlineStr">
        <is>
          <t>CO 1.23.2026</t>
        </is>
      </c>
      <c r="L1" s="349" t="inlineStr">
        <is>
          <t>CO 2.10.2026</t>
        </is>
      </c>
      <c r="M1" s="349" t="inlineStr">
        <is>
          <t>CO 2.10.2026</t>
        </is>
      </c>
      <c r="N1" s="349" t="inlineStr">
        <is>
          <t>CO 2.17.2026</t>
        </is>
      </c>
      <c r="O1" s="349" t="inlineStr">
        <is>
          <t>CO 2.19.2026</t>
        </is>
      </c>
      <c r="P1" s="349" t="inlineStr">
        <is>
          <t>CO 2.25.2026</t>
        </is>
      </c>
      <c r="Q1" s="349" t="inlineStr">
        <is>
          <t>CO 03.02.2026</t>
        </is>
      </c>
      <c r="R1" s="349" t="inlineStr">
        <is>
          <t>CO 03.03.2026</t>
        </is>
      </c>
      <c r="S1" s="349" t="inlineStr">
        <is>
          <t>CO 03.05.2026</t>
        </is>
      </c>
      <c r="T1" s="349" t="inlineStr">
        <is>
          <t>CO 03.12.2026</t>
        </is>
      </c>
      <c r="U1" s="349" t="inlineStr">
        <is>
          <t>CO 03.13.2026</t>
        </is>
      </c>
      <c r="V1" s="349" t="inlineStr">
        <is>
          <t>CO 03.26.2026</t>
        </is>
      </c>
      <c r="W1" s="349" t="inlineStr">
        <is>
          <t>CO 04.02.2026</t>
        </is>
      </c>
      <c r="X1" s="349" t="inlineStr">
        <is>
          <t>CO 04.09.2026</t>
        </is>
      </c>
      <c r="Y1" s="349" t="inlineStr">
        <is>
          <t>CO 04.14.2026</t>
        </is>
      </c>
      <c r="Z1" s="349" t="inlineStr">
        <is>
          <t>CO 04.14.2026</t>
        </is>
      </c>
      <c r="AA1" s="349" t="inlineStr">
        <is>
          <t>CO 04.21.2026</t>
        </is>
      </c>
      <c r="AB1" s="349" t="inlineStr">
        <is>
          <t>CO 04.22.2026</t>
        </is>
      </c>
      <c r="AC1" s="349" t="inlineStr">
        <is>
          <t>CO 04.24.2026</t>
        </is>
      </c>
      <c r="AD1" s="349" t="inlineStr">
        <is>
          <t>CO 04.29.2026</t>
        </is>
      </c>
      <c r="AE1" s="349" t="inlineStr">
        <is>
          <t>CO 04.30.2026</t>
        </is>
      </c>
      <c r="AF1" s="349" t="inlineStr">
        <is>
          <t>CO 05.04.2026</t>
        </is>
      </c>
      <c r="AG1" s="349" t="inlineStr">
        <is>
          <t>CO 05.06.2026</t>
        </is>
      </c>
      <c r="AH1" s="349" t="inlineStr">
        <is>
          <t>CO 05.11.2026</t>
        </is>
      </c>
      <c r="AI1" s="349" t="inlineStr">
        <is>
          <t>CO 05.13.2026</t>
        </is>
      </c>
      <c r="AJ1" s="349" t="inlineStr">
        <is>
          <t>CO 05.13.2026</t>
        </is>
      </c>
      <c r="AK1" s="349" t="inlineStr">
        <is>
          <t>CO 05.19.2026</t>
        </is>
      </c>
      <c r="AL1" s="349" t="inlineStr">
        <is>
          <t>CO 05.20.2026</t>
        </is>
      </c>
      <c r="AM1" s="349" t="inlineStr">
        <is>
          <t>CO 06.08.2026</t>
        </is>
      </c>
      <c r="AN1" s="349" t="inlineStr">
        <is>
          <t>CO 06.10.2026</t>
        </is>
      </c>
      <c r="AO1" s="343" t="n"/>
      <c r="AP1" s="343" t="inlineStr">
        <is>
          <t>CO QTY</t>
        </is>
      </c>
      <c r="AQ1" s="352" t="inlineStr">
        <is>
          <t>PO + CO Qty</t>
        </is>
      </c>
      <c r="AR1" s="349" t="inlineStr">
        <is>
          <t>T</t>
        </is>
      </c>
      <c r="AS1" s="347" t="inlineStr">
        <is>
          <t>x</t>
        </is>
      </c>
      <c r="AT1" s="349" t="inlineStr">
        <is>
          <t>W</t>
        </is>
      </c>
      <c r="AU1" s="349" t="inlineStr">
        <is>
          <t>Length</t>
        </is>
      </c>
      <c r="AV1" s="349" t="inlineStr">
        <is>
          <t>Material Type</t>
        </is>
      </c>
      <c r="AW1" s="349" t="inlineStr">
        <is>
          <t>L/F-Pcs.</t>
        </is>
      </c>
      <c r="AX1" s="349" t="inlineStr">
        <is>
          <t>B/F-S/F</t>
        </is>
      </c>
      <c r="AY1" s="340" t="inlineStr">
        <is>
          <t>Cost/MBF/MSF</t>
        </is>
      </c>
      <c r="AZ1" s="340" t="inlineStr">
        <is>
          <t>Total Cost</t>
        </is>
      </c>
      <c r="BA1" s="340" t="inlineStr">
        <is>
          <t>Total Cost + Tax</t>
        </is>
      </c>
      <c r="BB1" s="349" t="inlineStr">
        <is>
          <t>Invoice #</t>
        </is>
      </c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324" t="n"/>
      <c r="CB1" s="324" t="n"/>
      <c r="CC1" s="324" t="n"/>
      <c r="CD1" s="324" t="n"/>
      <c r="CE1" s="324" t="n"/>
      <c r="CF1" s="324" t="n"/>
      <c r="CG1" s="324" t="n"/>
      <c r="CH1" s="324" t="n"/>
      <c r="CI1" s="324" t="n"/>
      <c r="CJ1" s="324" t="n"/>
      <c r="CK1" s="324" t="n"/>
      <c r="CL1" s="324" t="n"/>
      <c r="CM1" s="324" t="n"/>
      <c r="CN1" s="324" t="n"/>
      <c r="CO1" s="324" t="n"/>
      <c r="CP1" s="324" t="n"/>
      <c r="CQ1" s="324" t="n"/>
      <c r="CR1" s="324" t="n"/>
      <c r="CS1" s="324" t="n"/>
      <c r="CT1" s="324" t="n"/>
      <c r="CU1" s="324" t="n"/>
      <c r="CV1" s="324" t="n"/>
      <c r="CX1" s="24" t="n"/>
      <c r="CY1" s="103" t="n"/>
      <c r="CZ1" s="103" t="n"/>
      <c r="DA1" s="103" t="n"/>
      <c r="DB1" s="103" t="n"/>
      <c r="DC1" s="103" t="n"/>
      <c r="DD1" s="326" t="n"/>
      <c r="DE1" s="326" t="n"/>
      <c r="DF1" s="324" t="n"/>
      <c r="DG1" s="324" t="n"/>
      <c r="DH1" s="324" t="n"/>
      <c r="DI1" s="324" t="n"/>
      <c r="DJ1" s="324" t="n"/>
      <c r="DK1" s="324" t="n"/>
      <c r="DL1" s="324" t="n"/>
      <c r="DM1" s="324" t="n"/>
      <c r="DN1" s="324" t="n"/>
      <c r="DO1" s="324" t="n"/>
      <c r="DP1" s="324" t="n"/>
      <c r="DQ1" s="324" t="n"/>
      <c r="DR1" s="324" t="n"/>
      <c r="DS1" s="324" t="n"/>
      <c r="DT1" s="324" t="n"/>
      <c r="DU1" s="324" t="n"/>
      <c r="DV1" s="344" t="inlineStr">
        <is>
          <t>Total Delivered</t>
        </is>
      </c>
      <c r="DW1" s="346" t="inlineStr">
        <is>
          <t>L/F</t>
        </is>
      </c>
      <c r="DX1" s="336" t="inlineStr">
        <is>
          <t>B/f - S/f Qty</t>
        </is>
      </c>
      <c r="DY1" s="337" t="inlineStr">
        <is>
          <t>Cost</t>
        </is>
      </c>
      <c r="DZ1" s="338" t="inlineStr">
        <is>
          <t>Cost with Tax</t>
        </is>
      </c>
      <c r="EA1" s="339" t="inlineStr">
        <is>
          <t>% Delivery</t>
        </is>
      </c>
      <c r="EB1" s="333" t="inlineStr">
        <is>
          <t>Inventory (in Bundles)</t>
        </is>
      </c>
      <c r="EC1" s="333" t="inlineStr">
        <is>
          <t>UOM</t>
        </is>
      </c>
      <c r="ED1" s="333" t="inlineStr">
        <is>
          <t>PCS/Bundle</t>
        </is>
      </c>
      <c r="EE1" s="333" t="inlineStr">
        <is>
          <t>Inventory in PCS</t>
        </is>
      </c>
      <c r="EF1" s="334" t="inlineStr">
        <is>
          <t>Issues</t>
        </is>
      </c>
      <c r="EG1" s="334" t="inlineStr">
        <is>
          <t>L/F</t>
        </is>
      </c>
      <c r="EH1" s="335" t="inlineStr">
        <is>
          <t>B/f - S/f Qty</t>
        </is>
      </c>
      <c r="EI1" s="327" t="inlineStr">
        <is>
          <t>% Issued</t>
        </is>
      </c>
      <c r="EJ1" s="327" t="inlineStr">
        <is>
          <t>Cost</t>
        </is>
      </c>
      <c r="EK1" s="327" t="inlineStr">
        <is>
          <t>Cost with Tax</t>
        </is>
      </c>
      <c r="EL1" s="328" t="inlineStr">
        <is>
          <t>Variance Code</t>
        </is>
      </c>
      <c r="E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362" t="n"/>
      <c r="Q2" s="362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362" t="n"/>
      <c r="AE2" s="362" t="n"/>
      <c r="AF2" s="362" t="n"/>
      <c r="AG2" s="362" t="n"/>
      <c r="AH2" s="362" t="n"/>
      <c r="AI2" s="362" t="n"/>
      <c r="AJ2" s="362" t="n"/>
      <c r="AK2" s="362" t="n"/>
      <c r="AL2" s="362" t="n"/>
      <c r="AM2" s="362" t="n"/>
      <c r="AN2" s="362" t="n"/>
      <c r="AO2" s="243" t="n"/>
      <c r="AP2" s="243" t="n"/>
      <c r="AQ2" s="362" t="n"/>
      <c r="AR2" s="362" t="n"/>
      <c r="AS2" s="362" t="n"/>
      <c r="AT2" s="362" t="n"/>
      <c r="AU2" s="362" t="n"/>
      <c r="AV2" s="362" t="n"/>
      <c r="AW2" s="362" t="n"/>
      <c r="AX2" s="362" t="n"/>
      <c r="AY2" s="362" t="n"/>
      <c r="AZ2" s="362" t="n"/>
      <c r="BA2" s="362" t="n"/>
      <c r="BB2" s="362" t="n"/>
      <c r="BC2" s="119" t="n">
        <v>45939</v>
      </c>
      <c r="BD2" s="119" t="n">
        <v>45972</v>
      </c>
      <c r="BE2" s="119" t="n">
        <v>45979</v>
      </c>
      <c r="BF2" s="119" t="n">
        <v>46009</v>
      </c>
      <c r="BG2" s="119" t="n">
        <v>46048</v>
      </c>
      <c r="BH2" s="119" t="n">
        <v>46050</v>
      </c>
      <c r="BI2" s="119" t="n">
        <v>46051</v>
      </c>
      <c r="BJ2" s="119" t="n">
        <v>46052</v>
      </c>
      <c r="BK2" s="119" t="n">
        <v>46055</v>
      </c>
      <c r="BL2" s="119" t="n">
        <v>46057</v>
      </c>
      <c r="BM2" s="119" t="n">
        <v>46058</v>
      </c>
      <c r="BN2" s="119" t="n">
        <v>46059</v>
      </c>
      <c r="BO2" s="119" t="n">
        <v>46062</v>
      </c>
      <c r="BP2" s="119" t="n">
        <v>46063</v>
      </c>
      <c r="BQ2" s="119" t="n">
        <v>46064</v>
      </c>
      <c r="BR2" s="119" t="n">
        <v>46065</v>
      </c>
      <c r="BS2" s="119" t="n">
        <v>46066</v>
      </c>
      <c r="BT2" s="119" t="n">
        <v>46070</v>
      </c>
      <c r="BU2" s="119" t="n">
        <v>46071</v>
      </c>
      <c r="BV2" s="119" t="n">
        <v>46072</v>
      </c>
      <c r="BW2" s="119" t="n">
        <v>46076</v>
      </c>
      <c r="BX2" s="119" t="n">
        <v>46077</v>
      </c>
      <c r="BY2" s="119" t="n">
        <v>46078</v>
      </c>
      <c r="BZ2" s="119" t="n">
        <v>46079</v>
      </c>
      <c r="CA2" s="119" t="n">
        <v>46080</v>
      </c>
      <c r="CB2" s="119" t="n">
        <v>46084</v>
      </c>
      <c r="CC2" s="119" t="n">
        <v>46086</v>
      </c>
      <c r="CD2" s="119" t="n">
        <v>46091</v>
      </c>
      <c r="CE2" s="119" t="n">
        <v>46092</v>
      </c>
      <c r="CF2" s="119" t="n">
        <v>46093</v>
      </c>
      <c r="CG2" s="119" t="n">
        <v>46094</v>
      </c>
      <c r="CH2" s="119" t="n">
        <v>46097</v>
      </c>
      <c r="CI2" s="119" t="n">
        <v>46098</v>
      </c>
      <c r="CJ2" s="119" t="n">
        <v>46100</v>
      </c>
      <c r="CK2" s="119" t="n">
        <v>46104</v>
      </c>
      <c r="CL2" s="119" t="n">
        <v>46108</v>
      </c>
      <c r="CM2" s="119" t="n">
        <v>46111</v>
      </c>
      <c r="CN2" s="119" t="n">
        <v>46112</v>
      </c>
      <c r="CO2" s="119" t="n">
        <v>46114</v>
      </c>
      <c r="CP2" s="119" t="n">
        <v>46118</v>
      </c>
      <c r="CQ2" s="119" t="n">
        <v>46119</v>
      </c>
      <c r="CR2" s="119" t="n">
        <v>46120</v>
      </c>
      <c r="CS2" s="119" t="n">
        <v>46121</v>
      </c>
      <c r="CT2" s="119" t="n">
        <v>46122</v>
      </c>
      <c r="CU2" s="119" t="n">
        <v>46125</v>
      </c>
      <c r="CV2" s="119" t="n">
        <v>46126</v>
      </c>
      <c r="CW2" s="122" t="n">
        <v>46127</v>
      </c>
      <c r="CX2" s="121" t="n">
        <v>46128</v>
      </c>
      <c r="CY2" s="121" t="n">
        <v>46129</v>
      </c>
      <c r="CZ2" s="120" t="n">
        <v>46132</v>
      </c>
      <c r="DA2" s="120" t="n">
        <v>46135</v>
      </c>
      <c r="DB2" s="120" t="n">
        <v>46136</v>
      </c>
      <c r="DC2" s="120" t="n">
        <v>46139</v>
      </c>
      <c r="DD2" s="120" t="n">
        <v>46140</v>
      </c>
      <c r="DE2" s="120" t="n">
        <v>46141</v>
      </c>
      <c r="DF2" s="119" t="n">
        <v>46142</v>
      </c>
      <c r="DG2" s="119" t="n">
        <v>46147</v>
      </c>
      <c r="DH2" s="119" t="n">
        <v>46148</v>
      </c>
      <c r="DI2" s="119" t="n">
        <v>46149</v>
      </c>
      <c r="DJ2" s="119" t="n">
        <v>46150</v>
      </c>
      <c r="DK2" s="119" t="n">
        <v>46153</v>
      </c>
      <c r="DL2" s="119" t="n">
        <v>46155</v>
      </c>
      <c r="DM2" s="119" t="n">
        <v>46156</v>
      </c>
      <c r="DN2" s="119" t="n">
        <v>46160</v>
      </c>
      <c r="DO2" s="119" t="n">
        <v>46161</v>
      </c>
      <c r="DP2" s="119" t="n">
        <v>46163</v>
      </c>
      <c r="DQ2" s="119" t="n">
        <v>46164</v>
      </c>
      <c r="DR2" s="119" t="n">
        <v>46168</v>
      </c>
      <c r="DS2" s="119" t="n">
        <v>46171</v>
      </c>
      <c r="DT2" s="119" t="n"/>
      <c r="DU2" s="119" t="n"/>
      <c r="DV2" s="372" t="n"/>
      <c r="DW2" s="373" t="n"/>
      <c r="DX2" s="374" t="n"/>
      <c r="DY2" s="374" t="n"/>
      <c r="DZ2" s="374" t="n"/>
      <c r="EA2" s="374" t="n"/>
      <c r="EB2" s="374" t="n"/>
      <c r="EC2" s="374" t="n"/>
      <c r="ED2" s="374" t="n"/>
      <c r="EE2" s="374" t="n"/>
      <c r="EF2" s="374" t="n"/>
      <c r="EG2" s="374" t="n"/>
      <c r="EH2" s="374" t="n"/>
      <c r="EI2" s="374" t="n"/>
      <c r="EJ2" s="374" t="n"/>
      <c r="EK2" s="374" t="n"/>
      <c r="EL2" s="374" t="n"/>
      <c r="EM2" s="374" t="n"/>
    </row>
    <row r="3" ht="37.5" customFormat="1" customHeight="1" s="12">
      <c r="A3" s="85" t="inlineStr">
        <is>
          <t>Lumber</t>
        </is>
      </c>
      <c r="B3" s="30" t="n">
        <v>11130</v>
      </c>
      <c r="C3" s="30" t="n">
        <v>-184</v>
      </c>
      <c r="D3" s="30" t="n"/>
      <c r="E3" s="30" t="n"/>
      <c r="F3" s="30" t="n"/>
      <c r="G3" s="30" t="n"/>
      <c r="H3" s="30" t="n"/>
      <c r="I3" s="30" t="n"/>
      <c r="J3" s="30" t="n"/>
      <c r="K3" s="30" t="n">
        <v>129</v>
      </c>
      <c r="L3" s="30" t="n">
        <v>8709</v>
      </c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24" t="n"/>
      <c r="AP3" s="24">
        <f>SUM(D3:AO3)</f>
        <v/>
      </c>
      <c r="AQ3" s="24">
        <f>SUM(B3:AO3)</f>
        <v/>
      </c>
      <c r="AR3" s="30" t="n">
        <v>2</v>
      </c>
      <c r="AS3" s="29" t="inlineStr">
        <is>
          <t>x</t>
        </is>
      </c>
      <c r="AT3" s="30" t="n">
        <v>4</v>
      </c>
      <c r="AU3" s="30" t="n">
        <v>1</v>
      </c>
      <c r="AV3" s="29" t="inlineStr">
        <is>
          <t>PT</t>
        </is>
      </c>
      <c r="AW3" s="24">
        <f>AQ3*AU3</f>
        <v/>
      </c>
      <c r="AX3" s="84">
        <f>(AQ3*AR3*AT3*AU3)/12</f>
        <v/>
      </c>
      <c r="AY3" s="62" t="n">
        <v>755</v>
      </c>
      <c r="AZ3" s="7">
        <f>(AX3*AY3)/1000</f>
        <v/>
      </c>
      <c r="BA3" s="83">
        <f>AZ3*1.06</f>
        <v/>
      </c>
      <c r="BB3" s="53" t="inlineStr">
        <is>
          <t>68981028
68981040
68981055</t>
        </is>
      </c>
      <c r="BC3" s="53" t="n"/>
      <c r="BD3" s="53" t="n"/>
      <c r="BE3" s="53" t="n"/>
      <c r="BF3" s="20" t="n"/>
      <c r="BG3" s="20" t="n"/>
      <c r="BH3" s="20" t="n"/>
      <c r="BI3" s="24">
        <f>(416-16)*12</f>
        <v/>
      </c>
      <c r="BJ3" s="24" t="n"/>
      <c r="BK3" s="24" t="n"/>
      <c r="BL3" s="24">
        <f>416*12</f>
        <v/>
      </c>
      <c r="BM3" s="24" t="n"/>
      <c r="BN3" s="24" t="n"/>
      <c r="BO3" s="24" t="n"/>
      <c r="BP3" s="24" t="n"/>
      <c r="BQ3" s="24">
        <f>416*12</f>
        <v/>
      </c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65" t="n"/>
      <c r="CY3" s="65" t="n"/>
      <c r="CZ3" s="65" t="n"/>
      <c r="DA3" s="65" t="n"/>
      <c r="DB3" s="65" t="n"/>
      <c r="DC3" s="65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>
        <f>SUM(BC3:DS3)</f>
        <v/>
      </c>
      <c r="DW3" s="24">
        <f>DV3*AU3</f>
        <v/>
      </c>
      <c r="DX3" s="24">
        <f>DV3*AR3*AT3*AU3/12</f>
        <v/>
      </c>
      <c r="DY3" s="7">
        <f>DX3*AY3/1000</f>
        <v/>
      </c>
      <c r="DZ3" s="23">
        <f>DY3*1.07</f>
        <v/>
      </c>
      <c r="EA3" s="22">
        <f>IFERROR(DY3/AZ3,0)</f>
        <v/>
      </c>
      <c r="EB3" s="24" t="n"/>
      <c r="EC3" s="24" t="n"/>
      <c r="ED3" s="24" t="n"/>
      <c r="EE3" s="24">
        <f>IF(EB3&lt;&gt;"",EB3*ED3,0)</f>
        <v/>
      </c>
      <c r="EF3" s="24">
        <f>DV3-EE3</f>
        <v/>
      </c>
      <c r="EG3" s="24">
        <f>EF3*AU3</f>
        <v/>
      </c>
      <c r="EH3" s="24">
        <f>(EF3*AR3*AT3*AU3)/12</f>
        <v/>
      </c>
      <c r="EI3" s="24">
        <f>IFERROR(EH3/DV3,0)</f>
        <v/>
      </c>
      <c r="EJ3" s="24">
        <f>IFERROR(EH3*AY3/1000,0)</f>
        <v/>
      </c>
      <c r="EK3" s="24">
        <f>EJ3*1.07</f>
        <v/>
      </c>
      <c r="EL3" s="24" t="n"/>
      <c r="EM3" s="24" t="n"/>
    </row>
    <row r="4" ht="81.40000000000001" customFormat="1" customHeight="1" s="12">
      <c r="A4" s="85" t="inlineStr">
        <is>
          <t>Lumber</t>
        </is>
      </c>
      <c r="B4" s="30" t="n">
        <v>16825</v>
      </c>
      <c r="C4" s="30" t="n">
        <v>-604</v>
      </c>
      <c r="D4" s="30" t="n"/>
      <c r="E4" s="30" t="n"/>
      <c r="F4" s="30" t="n"/>
      <c r="G4" s="30" t="n"/>
      <c r="H4" s="30" t="n"/>
      <c r="I4" s="30" t="n"/>
      <c r="J4" s="30" t="n"/>
      <c r="K4" s="30">
        <f>5111+7686*10</f>
        <v/>
      </c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24" t="n"/>
      <c r="AP4" s="24">
        <f>SUM(D4:AO4)</f>
        <v/>
      </c>
      <c r="AQ4" s="24">
        <f>SUM(B4:AO4)</f>
        <v/>
      </c>
      <c r="AR4" s="30" t="n">
        <v>2</v>
      </c>
      <c r="AS4" s="29" t="inlineStr">
        <is>
          <t>x</t>
        </is>
      </c>
      <c r="AT4" s="30" t="n">
        <v>6</v>
      </c>
      <c r="AU4" s="30" t="n">
        <v>1</v>
      </c>
      <c r="AV4" s="29" t="inlineStr">
        <is>
          <t>PT</t>
        </is>
      </c>
      <c r="AW4" s="24">
        <f>AQ4*AU4</f>
        <v/>
      </c>
      <c r="AX4" s="84">
        <f>(AQ4*AR4*AT4*AU4)/12</f>
        <v/>
      </c>
      <c r="AY4" s="62" t="n">
        <v>755</v>
      </c>
      <c r="AZ4" s="7">
        <f>(AX4*AY4)/1000</f>
        <v/>
      </c>
      <c r="BA4" s="83">
        <f>AZ4*1.06</f>
        <v/>
      </c>
      <c r="BB4" s="53" t="inlineStr">
        <is>
          <t>68981032 68981123 68981124 68981130
68981035
68981055
68981167</t>
        </is>
      </c>
      <c r="BC4" s="53" t="n"/>
      <c r="BD4" s="53" t="n"/>
      <c r="BE4" s="53" t="n"/>
      <c r="BF4" s="24" t="n"/>
      <c r="BG4" s="24" t="n"/>
      <c r="BH4" s="24" t="n"/>
      <c r="BI4" s="24" t="n"/>
      <c r="BJ4" s="24" t="n"/>
      <c r="BK4" s="24">
        <f>1536*10</f>
        <v/>
      </c>
      <c r="BL4" s="24">
        <f>1280*12</f>
        <v/>
      </c>
      <c r="BM4" s="24" t="n"/>
      <c r="BN4" s="24" t="n"/>
      <c r="BO4" s="24" t="n"/>
      <c r="BP4" s="24" t="n"/>
      <c r="BQ4" s="24">
        <f>1152*10</f>
        <v/>
      </c>
      <c r="BR4" s="24" t="n"/>
      <c r="BS4" s="24" t="n"/>
      <c r="BT4" s="24" t="n"/>
      <c r="BU4" s="24" t="n"/>
      <c r="BV4" s="24" t="n"/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131">
        <f>1536*10</f>
        <v/>
      </c>
      <c r="CJ4" s="131">
        <f>1024*12</f>
        <v/>
      </c>
      <c r="CK4" s="24" t="n"/>
      <c r="CL4" s="24">
        <f>1280*12</f>
        <v/>
      </c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>
        <f>1551*10</f>
        <v/>
      </c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  <c r="DQ4" s="24" t="n"/>
      <c r="DR4" s="24" t="n"/>
      <c r="DS4" s="24" t="n"/>
      <c r="DT4" s="24" t="n"/>
      <c r="DU4" s="24" t="n"/>
      <c r="DV4" s="24">
        <f>SUM(BC4:DS4)</f>
        <v/>
      </c>
      <c r="DW4" s="24">
        <f>DV4*AU4</f>
        <v/>
      </c>
      <c r="DX4" s="24">
        <f>DV4*AR4*AT4*AU4/12</f>
        <v/>
      </c>
      <c r="DY4" s="7">
        <f>DX4*AY4/1000</f>
        <v/>
      </c>
      <c r="DZ4" s="23">
        <f>DY4*1.07</f>
        <v/>
      </c>
      <c r="EA4" s="22">
        <f>IFERROR(DY4/AZ4,0)</f>
        <v/>
      </c>
      <c r="EB4" s="24" t="n"/>
      <c r="EC4" s="24" t="n"/>
      <c r="ED4" s="24" t="n"/>
      <c r="EE4" s="24">
        <f>IF(EB4&lt;&gt;"",EB4*ED4,0)</f>
        <v/>
      </c>
      <c r="EF4" s="24">
        <f>DV4-EE4</f>
        <v/>
      </c>
      <c r="EG4" s="24">
        <f>EF4*AU4</f>
        <v/>
      </c>
      <c r="EH4" s="24">
        <f>(EF4*AR4*AT4*AU4)/12</f>
        <v/>
      </c>
      <c r="EI4" s="24">
        <f>IFERROR(EH4/DV4,0)</f>
        <v/>
      </c>
      <c r="EJ4" s="24">
        <f>IFERROR(EH4*AY4/1000,0)</f>
        <v/>
      </c>
      <c r="EK4" s="24">
        <f>EJ4*1.07</f>
        <v/>
      </c>
      <c r="EL4" s="24" t="n"/>
      <c r="EM4" s="24" t="n"/>
    </row>
    <row r="5" ht="13.15" customFormat="1" customHeight="1" s="12">
      <c r="A5" s="85" t="inlineStr">
        <is>
          <t>Lumber</t>
        </is>
      </c>
      <c r="B5" s="30" t="n">
        <v>1026</v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24" t="n"/>
      <c r="AP5" s="24">
        <f>SUM(D5:AO5)</f>
        <v/>
      </c>
      <c r="AQ5" s="24">
        <f>SUM(B5:AO5)</f>
        <v/>
      </c>
      <c r="AR5" s="30" t="n">
        <v>2</v>
      </c>
      <c r="AS5" s="29" t="inlineStr">
        <is>
          <t>x</t>
        </is>
      </c>
      <c r="AT5" s="30" t="n">
        <v>6</v>
      </c>
      <c r="AU5" s="30" t="n">
        <v>12</v>
      </c>
      <c r="AV5" s="29" t="inlineStr">
        <is>
          <t>PT</t>
        </is>
      </c>
      <c r="AW5" s="24">
        <f>AQ5*AU5</f>
        <v/>
      </c>
      <c r="AX5" s="84">
        <f>(AQ5*AR5*AT5*AU5)/12</f>
        <v/>
      </c>
      <c r="AY5" s="62" t="n">
        <v>755</v>
      </c>
      <c r="AZ5" s="7">
        <f>(AX5*AY5)/1000</f>
        <v/>
      </c>
      <c r="BA5" s="83">
        <f>AZ5*1.06</f>
        <v/>
      </c>
      <c r="BB5" s="53" t="n">
        <v>68981028</v>
      </c>
      <c r="BC5" s="53" t="n"/>
      <c r="BD5" s="53" t="n"/>
      <c r="BE5" s="53" t="n"/>
      <c r="BF5" s="20" t="n"/>
      <c r="BG5" s="20" t="n"/>
      <c r="BH5" s="20" t="n"/>
      <c r="BI5" s="24">
        <f>(640-50)+128</f>
        <v/>
      </c>
      <c r="BJ5" s="24" t="n"/>
      <c r="BK5" s="24" t="n"/>
      <c r="BL5" s="24" t="n"/>
      <c r="BM5" s="24" t="n"/>
      <c r="BN5" s="24" t="n"/>
      <c r="BO5" s="24" t="n"/>
      <c r="BP5" s="24" t="n"/>
      <c r="BQ5" s="24" t="n"/>
      <c r="BR5" s="24" t="n"/>
      <c r="BS5" s="24" t="n"/>
      <c r="BT5" s="24" t="n"/>
      <c r="BU5" s="24" t="n"/>
      <c r="BV5" s="24" t="n"/>
      <c r="BW5" s="24" t="n"/>
      <c r="BX5" s="24" t="n"/>
      <c r="BY5" s="24" t="n"/>
      <c r="BZ5" s="24" t="n"/>
      <c r="CA5" s="24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  <c r="DQ5" s="24" t="n"/>
      <c r="DR5" s="24" t="n"/>
      <c r="DS5" s="24" t="n"/>
      <c r="DT5" s="24" t="n"/>
      <c r="DU5" s="24" t="n"/>
      <c r="DV5" s="24">
        <f>SUM(BC5:DS5)</f>
        <v/>
      </c>
      <c r="DW5" s="24">
        <f>DV5*AU5</f>
        <v/>
      </c>
      <c r="DX5" s="24">
        <f>DV5*AR5*AT5*AU5/12</f>
        <v/>
      </c>
      <c r="DY5" s="7">
        <f>DX5*AY5/1000</f>
        <v/>
      </c>
      <c r="DZ5" s="23">
        <f>DY5*1.07</f>
        <v/>
      </c>
      <c r="EA5" s="22">
        <f>IFERROR(DY5/AZ5,0)</f>
        <v/>
      </c>
      <c r="EB5" s="24" t="n"/>
      <c r="EC5" s="24" t="n"/>
      <c r="ED5" s="24" t="n"/>
      <c r="EE5" s="24">
        <f>IF(EB5&lt;&gt;"",EB5*ED5,0)</f>
        <v/>
      </c>
      <c r="EF5" s="24">
        <f>DV5-EE5</f>
        <v/>
      </c>
      <c r="EG5" s="24">
        <f>EF5*AU5</f>
        <v/>
      </c>
      <c r="EH5" s="24">
        <f>(EF5*AR5*AT5*AU5)/12</f>
        <v/>
      </c>
      <c r="EI5" s="24">
        <f>IFERROR(EH5/DV5,0)</f>
        <v/>
      </c>
      <c r="EJ5" s="24">
        <f>IFERROR(EH5*AY5/1000,0)</f>
        <v/>
      </c>
      <c r="EK5" s="24">
        <f>EJ5*1.07</f>
        <v/>
      </c>
      <c r="EL5" s="24" t="n"/>
      <c r="EM5" s="24" t="n"/>
    </row>
    <row r="6" ht="13.15" customFormat="1" customHeight="1" s="12">
      <c r="A6" s="85" t="n"/>
      <c r="B6" s="30" t="n"/>
      <c r="C6" s="30" t="n"/>
      <c r="D6" s="30" t="n">
        <v>5</v>
      </c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24" t="n"/>
      <c r="AP6" s="24">
        <f>SUM(D6:AO6)</f>
        <v/>
      </c>
      <c r="AQ6" s="24">
        <f>SUM(B6:AO6)</f>
        <v/>
      </c>
      <c r="AR6" s="30" t="n">
        <v>2</v>
      </c>
      <c r="AS6" s="29" t="inlineStr">
        <is>
          <t>x</t>
        </is>
      </c>
      <c r="AT6" s="30" t="n">
        <v>6</v>
      </c>
      <c r="AU6" s="30" t="n">
        <v>12</v>
      </c>
      <c r="AV6" s="29" t="inlineStr">
        <is>
          <t>PT</t>
        </is>
      </c>
      <c r="AW6" s="24">
        <f>AQ6*AU6</f>
        <v/>
      </c>
      <c r="AX6" s="84">
        <f>(AQ6*AR6*AT6*AU6)/12</f>
        <v/>
      </c>
      <c r="AY6" s="62" t="n">
        <v>11.45</v>
      </c>
      <c r="AZ6" s="7">
        <f>AY6*AQ6</f>
        <v/>
      </c>
      <c r="BA6" s="83">
        <f>AZ6*1.06</f>
        <v/>
      </c>
      <c r="BB6" s="53" t="n">
        <v>68981005</v>
      </c>
      <c r="BC6" s="53" t="n">
        <v>5</v>
      </c>
      <c r="BD6" s="53" t="n"/>
      <c r="BE6" s="53" t="n"/>
      <c r="BF6" s="20" t="n"/>
      <c r="BG6" s="20" t="n"/>
      <c r="BH6" s="20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  <c r="DQ6" s="24" t="n"/>
      <c r="DR6" s="24" t="n"/>
      <c r="DS6" s="24" t="n"/>
      <c r="DT6" s="24" t="n"/>
      <c r="DU6" s="24" t="n"/>
      <c r="DV6" s="24">
        <f>SUM(BC6:DU6)</f>
        <v/>
      </c>
      <c r="DW6" s="24">
        <f>DV6*AU6</f>
        <v/>
      </c>
      <c r="DX6" s="24">
        <f>DV6*AR6*AT6*AU6/12</f>
        <v/>
      </c>
      <c r="DY6" s="7">
        <f>DV6*AY6</f>
        <v/>
      </c>
      <c r="DZ6" s="23">
        <f>DY6*1.06</f>
        <v/>
      </c>
      <c r="EA6" s="22">
        <f>IFERROR(DY6/AZ6,0)</f>
        <v/>
      </c>
      <c r="EB6" s="24" t="n"/>
      <c r="EC6" s="24" t="n"/>
      <c r="ED6" s="24" t="n"/>
      <c r="EE6" s="24" t="n"/>
      <c r="EF6" s="24" t="n"/>
      <c r="EG6" s="24" t="n"/>
      <c r="EH6" s="24" t="n"/>
      <c r="EI6" s="24" t="n"/>
      <c r="EJ6" s="24" t="n"/>
      <c r="EK6" s="24" t="n"/>
      <c r="EL6" s="24" t="n"/>
      <c r="EM6" s="24" t="n"/>
    </row>
    <row r="7" ht="11.65" customFormat="1" customHeight="1" s="12">
      <c r="A7" s="85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>
        <v>14</v>
      </c>
      <c r="K7" s="30" t="n">
        <v>-14</v>
      </c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24" t="n"/>
      <c r="AP7" s="24">
        <f>SUM(D7:AO7)</f>
        <v/>
      </c>
      <c r="AQ7" s="24">
        <f>SUM(B7:AO7)</f>
        <v/>
      </c>
      <c r="AR7" s="30" t="n">
        <v>2</v>
      </c>
      <c r="AS7" s="29" t="inlineStr">
        <is>
          <t>x</t>
        </is>
      </c>
      <c r="AT7" s="30" t="n">
        <v>6</v>
      </c>
      <c r="AU7" s="30" t="n">
        <v>24</v>
      </c>
      <c r="AV7" s="29" t="inlineStr">
        <is>
          <t>PT</t>
        </is>
      </c>
      <c r="AW7" s="24">
        <f>AQ7*AU7</f>
        <v/>
      </c>
      <c r="AX7" s="84">
        <f>(AQ7*AR7*AT7*AU7)/12</f>
        <v/>
      </c>
      <c r="AY7" s="62" t="n">
        <v>1615</v>
      </c>
      <c r="AZ7" s="7">
        <f>(AX7*AY7)/1000</f>
        <v/>
      </c>
      <c r="BA7" s="83">
        <f>AZ7*1.06</f>
        <v/>
      </c>
      <c r="BB7" s="53" t="n"/>
      <c r="BC7" s="53" t="n"/>
      <c r="BD7" s="53" t="n"/>
      <c r="BE7" s="53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4" t="n"/>
      <c r="DT7" s="24" t="n"/>
      <c r="DU7" s="24" t="n"/>
      <c r="DV7" s="24">
        <f>SUM(BC7:DU7)</f>
        <v/>
      </c>
      <c r="DW7" s="24">
        <f>DV7*AU7</f>
        <v/>
      </c>
      <c r="DX7" s="24">
        <f>DV7*AR7*AT7*AU7/12</f>
        <v/>
      </c>
      <c r="DY7" s="7">
        <f>DX7*AY7/1000</f>
        <v/>
      </c>
      <c r="DZ7" s="23">
        <f>DY7*1.06</f>
        <v/>
      </c>
      <c r="EA7" s="22">
        <f>IFERROR(DY7/AZ7,0)</f>
        <v/>
      </c>
      <c r="EB7" s="24" t="n"/>
      <c r="EC7" s="24" t="n"/>
      <c r="ED7" s="24" t="n"/>
      <c r="EE7" s="24" t="n"/>
      <c r="EF7" s="24" t="n"/>
      <c r="EG7" s="24" t="n"/>
      <c r="EH7" s="24" t="n"/>
      <c r="EI7" s="24" t="n"/>
      <c r="EJ7" s="24" t="n"/>
      <c r="EK7" s="24" t="n"/>
      <c r="EL7" s="24" t="n"/>
      <c r="EM7" s="24" t="n"/>
    </row>
    <row r="8" ht="23.25" customFormat="1" customHeight="1" s="12">
      <c r="A8" s="85" t="n"/>
      <c r="B8" s="30" t="n"/>
      <c r="C8" s="30" t="n">
        <v>-179</v>
      </c>
      <c r="D8" s="30" t="n"/>
      <c r="E8" s="30" t="n"/>
      <c r="F8" s="30" t="n"/>
      <c r="G8" s="30" t="n"/>
      <c r="H8" s="30" t="n"/>
      <c r="I8" s="30" t="n"/>
      <c r="J8" s="30" t="n"/>
      <c r="K8" s="30" t="n">
        <v>4445</v>
      </c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24" t="n"/>
      <c r="AP8" s="24">
        <f>SUM(D8:AO8)</f>
        <v/>
      </c>
      <c r="AQ8" s="24">
        <f>SUM(B8:AO8)</f>
        <v/>
      </c>
      <c r="AR8" s="30" t="n">
        <v>2</v>
      </c>
      <c r="AS8" s="29" t="inlineStr">
        <is>
          <t>X</t>
        </is>
      </c>
      <c r="AT8" s="30" t="n">
        <v>8</v>
      </c>
      <c r="AU8" s="30" t="n">
        <v>1</v>
      </c>
      <c r="AV8" s="29" t="inlineStr">
        <is>
          <t>PT</t>
        </is>
      </c>
      <c r="AW8" s="24">
        <f>AQ8*AU8</f>
        <v/>
      </c>
      <c r="AX8" s="84">
        <f>(AQ8*AR8*AT8*AU8)/12</f>
        <v/>
      </c>
      <c r="AY8" s="62" t="n">
        <v>755</v>
      </c>
      <c r="AZ8" s="7">
        <f>(AX8*AY8)/1000</f>
        <v/>
      </c>
      <c r="BA8" s="83">
        <f>AZ8*1.06</f>
        <v/>
      </c>
      <c r="BB8" s="53" t="inlineStr">
        <is>
          <t>68981028
68981040</t>
        </is>
      </c>
      <c r="BC8" s="53" t="n"/>
      <c r="BD8" s="53" t="n"/>
      <c r="BE8" s="53" t="n"/>
      <c r="BF8" s="24" t="n"/>
      <c r="BG8" s="24" t="n"/>
      <c r="BH8" s="24" t="n"/>
      <c r="BI8" s="24">
        <f>(96-15)*12</f>
        <v/>
      </c>
      <c r="BJ8" s="24" t="n"/>
      <c r="BK8" s="24" t="n"/>
      <c r="BL8" s="24" t="n"/>
      <c r="BM8" s="24" t="n"/>
      <c r="BN8" s="24" t="n"/>
      <c r="BO8" s="24">
        <f>288*12</f>
        <v/>
      </c>
      <c r="BP8" s="24" t="n"/>
      <c r="BQ8" s="24" t="n"/>
      <c r="BR8" s="24" t="n"/>
      <c r="BS8" s="24" t="n"/>
      <c r="BT8" s="24" t="n"/>
      <c r="BU8" s="24" t="n"/>
      <c r="BV8" s="24" t="n"/>
      <c r="BW8" s="24" t="n"/>
      <c r="BX8" s="24" t="n"/>
      <c r="BY8" s="24" t="n"/>
      <c r="BZ8" s="24" t="n"/>
      <c r="CA8" s="24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  <c r="DQ8" s="24" t="n"/>
      <c r="DR8" s="24" t="n"/>
      <c r="DS8" s="24" t="n"/>
      <c r="DT8" s="24" t="n"/>
      <c r="DU8" s="24" t="n"/>
      <c r="DV8" s="24">
        <f>SUM(BC8:DU8)</f>
        <v/>
      </c>
      <c r="DW8" s="24">
        <f>DV8*AU8</f>
        <v/>
      </c>
      <c r="DX8" s="24">
        <f>DV8*AR8*AT8*AU8/12</f>
        <v/>
      </c>
      <c r="DY8" s="7">
        <f>DX8*AY8/1000</f>
        <v/>
      </c>
      <c r="DZ8" s="23">
        <f>DY8*1.06</f>
        <v/>
      </c>
      <c r="EA8" s="22">
        <f>IFERROR(DY8/AZ8,0)</f>
        <v/>
      </c>
      <c r="EB8" s="24" t="n"/>
      <c r="EC8" s="24" t="n"/>
      <c r="ED8" s="24" t="n"/>
      <c r="EE8" s="24" t="n"/>
      <c r="EF8" s="24" t="n"/>
      <c r="EG8" s="24" t="n"/>
      <c r="EH8" s="24" t="n"/>
      <c r="EI8" s="24" t="n"/>
      <c r="EJ8" s="24" t="n"/>
      <c r="EK8" s="24" t="n"/>
      <c r="EL8" s="24" t="n"/>
      <c r="EM8" s="24" t="n"/>
    </row>
    <row r="9" ht="46.5" customFormat="1" customHeight="1" s="12">
      <c r="A9" s="85" t="n"/>
      <c r="B9" s="30">
        <f>1408*12</f>
        <v/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>
        <f>2242*8-14041</f>
        <v/>
      </c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24" t="n"/>
      <c r="AP9" s="24">
        <f>SUM(D9:AO9)</f>
        <v/>
      </c>
      <c r="AQ9" s="24">
        <f>SUM(B9:AO9)</f>
        <v/>
      </c>
      <c r="AR9" s="30" t="n">
        <v>2</v>
      </c>
      <c r="AS9" s="29" t="inlineStr">
        <is>
          <t>X</t>
        </is>
      </c>
      <c r="AT9" s="30" t="n">
        <v>10</v>
      </c>
      <c r="AU9" s="30" t="n">
        <v>1</v>
      </c>
      <c r="AV9" s="29" t="inlineStr">
        <is>
          <t>PT</t>
        </is>
      </c>
      <c r="AW9" s="24">
        <f>AQ9*AU9</f>
        <v/>
      </c>
      <c r="AX9" s="84">
        <f>(AQ9*AR9*AT9*AU9)/12</f>
        <v/>
      </c>
      <c r="AY9" s="62" t="n">
        <v>815</v>
      </c>
      <c r="AZ9" s="7">
        <f>(AX9*AY9)/1000</f>
        <v/>
      </c>
      <c r="BA9" s="83">
        <f>AZ9*1.06</f>
        <v/>
      </c>
      <c r="BB9" s="53" t="inlineStr">
        <is>
          <t>68981125 68981038 68981134 68981135</t>
        </is>
      </c>
      <c r="BC9" s="53" t="n"/>
      <c r="BD9" s="53" t="n"/>
      <c r="BE9" s="53" t="n"/>
      <c r="BF9" s="24" t="n"/>
      <c r="BG9" s="24" t="n"/>
      <c r="BH9" s="24" t="n"/>
      <c r="BI9" s="24" t="n"/>
      <c r="BJ9" s="24" t="n"/>
      <c r="BK9" s="24" t="n"/>
      <c r="BL9" s="24" t="n"/>
      <c r="BM9" s="24">
        <f>1117*8</f>
        <v/>
      </c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>
        <f>640*14</f>
        <v/>
      </c>
      <c r="CL9" s="24" t="n"/>
      <c r="CM9" s="24">
        <f>320*8+480*14</f>
        <v/>
      </c>
      <c r="CN9" s="24">
        <f>160*8+160*14</f>
        <v/>
      </c>
      <c r="CO9" s="24">
        <f>480*8</f>
        <v/>
      </c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n"/>
      <c r="DR9" s="24" t="n"/>
      <c r="DS9" s="24" t="n"/>
      <c r="DT9" s="24" t="n"/>
      <c r="DU9" s="24" t="n"/>
      <c r="DV9" s="24">
        <f>SUM(BC9:DU9)</f>
        <v/>
      </c>
      <c r="DW9" s="24">
        <f>DV9*AU9</f>
        <v/>
      </c>
      <c r="DX9" s="24">
        <f>DV9*AR9*AT9*AU9/12</f>
        <v/>
      </c>
      <c r="DY9" s="7">
        <f>DX9*AY9/1000</f>
        <v/>
      </c>
      <c r="DZ9" s="23">
        <f>DY9*1.06</f>
        <v/>
      </c>
      <c r="EA9" s="22">
        <f>IFERROR(DY9/AZ9,0)</f>
        <v/>
      </c>
      <c r="EB9" s="24" t="n"/>
      <c r="EC9" s="24" t="n"/>
      <c r="ED9" s="24" t="n"/>
      <c r="EE9" s="24" t="n"/>
      <c r="EF9" s="24" t="n"/>
      <c r="EG9" s="24" t="n"/>
      <c r="EH9" s="24" t="n"/>
      <c r="EI9" s="24" t="n"/>
      <c r="EJ9" s="24" t="n"/>
      <c r="EK9" s="24" t="n"/>
      <c r="EL9" s="24" t="n"/>
      <c r="EM9" s="24" t="n"/>
    </row>
    <row r="10" ht="23.25" customFormat="1" customHeight="1" s="12">
      <c r="A10" s="85" t="inlineStr">
        <is>
          <t>Lumber</t>
        </is>
      </c>
      <c r="B10" s="30" t="n"/>
      <c r="C10" s="30" t="n"/>
      <c r="D10" s="30" t="n"/>
      <c r="E10" s="30" t="n"/>
      <c r="F10" s="148" t="n"/>
      <c r="G10" s="148" t="n"/>
      <c r="H10" s="148" t="n"/>
      <c r="I10" s="148" t="n"/>
      <c r="J10" s="148" t="n"/>
      <c r="K10" s="148">
        <f>221</f>
        <v/>
      </c>
      <c r="L10" s="148" t="n"/>
      <c r="M10" s="148" t="n"/>
      <c r="N10" s="148" t="n"/>
      <c r="O10" s="148" t="n"/>
      <c r="P10" s="148" t="n"/>
      <c r="Q10" s="148" t="n"/>
      <c r="R10" s="148" t="n"/>
      <c r="S10" s="148" t="n"/>
      <c r="T10" s="148" t="n"/>
      <c r="U10" s="148" t="n"/>
      <c r="V10" s="148" t="n"/>
      <c r="W10" s="148" t="n"/>
      <c r="X10" s="148" t="n"/>
      <c r="Y10" s="148" t="n"/>
      <c r="Z10" s="148" t="n"/>
      <c r="AA10" s="148" t="n"/>
      <c r="AB10" s="148" t="n"/>
      <c r="AC10" s="148" t="n"/>
      <c r="AD10" s="148" t="n"/>
      <c r="AE10" s="148" t="n"/>
      <c r="AF10" s="148" t="n"/>
      <c r="AG10" s="148" t="n"/>
      <c r="AH10" s="148" t="n"/>
      <c r="AI10" s="148" t="n"/>
      <c r="AJ10" s="148" t="n"/>
      <c r="AK10" s="148" t="n"/>
      <c r="AL10" s="148" t="n"/>
      <c r="AM10" s="148" t="n"/>
      <c r="AN10" s="148" t="n"/>
      <c r="AO10" s="24" t="n"/>
      <c r="AP10" s="24">
        <f>SUM(D10:AO10)</f>
        <v/>
      </c>
      <c r="AQ10" s="86">
        <f>SUM(B10:AO10)</f>
        <v/>
      </c>
      <c r="AR10" s="30" t="n">
        <v>2</v>
      </c>
      <c r="AS10" s="29" t="inlineStr">
        <is>
          <t>x</t>
        </is>
      </c>
      <c r="AT10" s="30" t="n">
        <v>10</v>
      </c>
      <c r="AU10" s="30" t="n">
        <v>12</v>
      </c>
      <c r="AV10" s="29" t="inlineStr">
        <is>
          <t>PT</t>
        </is>
      </c>
      <c r="AW10" s="24">
        <f>AQ10*AU10</f>
        <v/>
      </c>
      <c r="AX10" s="84">
        <f>(AQ10*AR10*AT10*AU10)/12</f>
        <v/>
      </c>
      <c r="AY10" s="62" t="n">
        <v>815</v>
      </c>
      <c r="AZ10" s="7">
        <f>(AX10*AY10)/1000</f>
        <v/>
      </c>
      <c r="BA10" s="83">
        <f>AZ10*1.06</f>
        <v/>
      </c>
      <c r="BB10" s="53" t="inlineStr">
        <is>
          <t>68981028
68981040</t>
        </is>
      </c>
      <c r="BC10" s="53" t="n"/>
      <c r="BD10" s="53" t="n"/>
      <c r="BE10" s="53" t="n"/>
      <c r="BF10" s="24" t="n"/>
      <c r="BG10" s="24" t="n"/>
      <c r="BH10" s="24" t="n"/>
      <c r="BI10" s="24" t="n">
        <v>320</v>
      </c>
      <c r="BJ10" s="24" t="n"/>
      <c r="BK10" s="24" t="n"/>
      <c r="BL10" s="24" t="n"/>
      <c r="BM10" s="24" t="n"/>
      <c r="BN10" s="24" t="n"/>
      <c r="BO10" s="24">
        <f>19+221</f>
        <v/>
      </c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4" t="n"/>
      <c r="DT10" s="24" t="n"/>
      <c r="DU10" s="24" t="n"/>
      <c r="DV10" s="24">
        <f>SUM(BC10:DS10)</f>
        <v/>
      </c>
      <c r="DW10" s="24">
        <f>DV10*AU10</f>
        <v/>
      </c>
      <c r="DX10" s="24">
        <f>DV10*AR10*AT10*AU10/12</f>
        <v/>
      </c>
      <c r="DY10" s="7">
        <f>DX10*AY10/1000</f>
        <v/>
      </c>
      <c r="DZ10" s="23">
        <f>DY10*1.07</f>
        <v/>
      </c>
      <c r="EA10" s="22">
        <f>IFERROR(DY10/AZ10,0)</f>
        <v/>
      </c>
      <c r="EB10" s="24" t="n"/>
      <c r="EC10" s="24" t="n"/>
      <c r="ED10" s="24" t="n"/>
      <c r="EE10" s="24">
        <f>IF(EB10&lt;&gt;"",EB10*ED10,0)</f>
        <v/>
      </c>
      <c r="EF10" s="24">
        <f>DV10-EE10</f>
        <v/>
      </c>
      <c r="EG10" s="24">
        <f>EF10*AU10</f>
        <v/>
      </c>
      <c r="EH10" s="24">
        <f>(EF10*AR10*AT10*AU10)/12</f>
        <v/>
      </c>
      <c r="EI10" s="24">
        <f>IFERROR(EH10/DV10,0)</f>
        <v/>
      </c>
      <c r="EJ10" s="24">
        <f>IFERROR(EH10*AY10/1000,0)</f>
        <v/>
      </c>
      <c r="EK10" s="24">
        <f>EJ10*1.07</f>
        <v/>
      </c>
      <c r="EL10" s="24" t="n"/>
      <c r="EM10" s="24" t="n"/>
    </row>
    <row r="11" ht="34.9" customFormat="1" customHeight="1" s="12">
      <c r="A11" s="85" t="inlineStr">
        <is>
          <t>Lumber</t>
        </is>
      </c>
      <c r="B11" s="30" t="n">
        <v>6760</v>
      </c>
      <c r="C11" s="30" t="n">
        <v>-84</v>
      </c>
      <c r="D11" s="30" t="n"/>
      <c r="E11" s="30" t="n"/>
      <c r="F11" s="30" t="n"/>
      <c r="G11" s="30" t="n"/>
      <c r="H11" s="30" t="n"/>
      <c r="I11" s="30" t="n">
        <v>6717</v>
      </c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24" t="n"/>
      <c r="AP11" s="24">
        <f>SUM(D11:AO11)</f>
        <v/>
      </c>
      <c r="AQ11" s="24">
        <f>SUM(B11:AO11)</f>
        <v/>
      </c>
      <c r="AR11" s="30" t="n">
        <v>2</v>
      </c>
      <c r="AS11" s="29" t="inlineStr">
        <is>
          <t>x</t>
        </is>
      </c>
      <c r="AT11" s="30" t="n">
        <v>12</v>
      </c>
      <c r="AU11" s="30" t="n">
        <v>1</v>
      </c>
      <c r="AV11" s="29" t="inlineStr">
        <is>
          <t>PT</t>
        </is>
      </c>
      <c r="AW11" s="24">
        <f>AQ11*AU11</f>
        <v/>
      </c>
      <c r="AX11" s="84">
        <f>(AQ11*AR11*AT11*AU11)/12</f>
        <v/>
      </c>
      <c r="AY11" s="62" t="n">
        <v>845</v>
      </c>
      <c r="AZ11" s="7">
        <f>(AX11*AY11)/1000</f>
        <v/>
      </c>
      <c r="BA11" s="83">
        <f>AZ11*1.06</f>
        <v/>
      </c>
      <c r="BB11" s="53" t="inlineStr">
        <is>
          <t>68981100 68981123 68981142</t>
        </is>
      </c>
      <c r="BC11" s="53" t="n"/>
      <c r="BD11" s="53" t="n"/>
      <c r="BE11" s="53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>
        <f>26*18</f>
        <v/>
      </c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131">
        <f>28*18+32*20</f>
        <v/>
      </c>
      <c r="CK11" s="24" t="n"/>
      <c r="CL11" s="24" t="n"/>
      <c r="CM11" s="24" t="n"/>
      <c r="CN11" s="24" t="n"/>
      <c r="CO11" s="24">
        <f>166*14</f>
        <v/>
      </c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4" t="n"/>
      <c r="DT11" s="24" t="n"/>
      <c r="DU11" s="24" t="n"/>
      <c r="DV11" s="24">
        <f>SUM(BC11:DS11)</f>
        <v/>
      </c>
      <c r="DW11" s="24">
        <f>DV11*AU11</f>
        <v/>
      </c>
      <c r="DX11" s="24">
        <f>DV11*AR11*AT11*AU11/12</f>
        <v/>
      </c>
      <c r="DY11" s="7">
        <f>DX11*AY11/1000</f>
        <v/>
      </c>
      <c r="DZ11" s="23">
        <f>DY11*1.07</f>
        <v/>
      </c>
      <c r="EA11" s="22">
        <f>IFERROR(DY11/AZ11,0)</f>
        <v/>
      </c>
      <c r="EB11" s="24" t="n"/>
      <c r="EC11" s="24" t="n"/>
      <c r="ED11" s="24" t="n"/>
      <c r="EE11" s="24">
        <f>IF(EB11&lt;&gt;"",EB11*ED11,0)</f>
        <v/>
      </c>
      <c r="EF11" s="24">
        <f>DV11-EE11</f>
        <v/>
      </c>
      <c r="EG11" s="24">
        <f>EF11*AU11</f>
        <v/>
      </c>
      <c r="EH11" s="24">
        <f>(EF11*AR11*AT11*AU11)/12</f>
        <v/>
      </c>
      <c r="EI11" s="24">
        <f>IFERROR(EH11/DV11,0)</f>
        <v/>
      </c>
      <c r="EJ11" s="24">
        <f>IFERROR(EH11*AY11/1000,0)</f>
        <v/>
      </c>
      <c r="EK11" s="24">
        <f>EJ11*1.07</f>
        <v/>
      </c>
      <c r="EL11" s="24" t="n"/>
      <c r="EM11" s="24" t="n"/>
    </row>
    <row r="12" ht="23.25" customFormat="1" customHeight="1" s="12">
      <c r="A12" s="85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>
        <v>557</v>
      </c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24" t="n"/>
      <c r="AP12" s="24">
        <f>SUM(D12:AO12)</f>
        <v/>
      </c>
      <c r="AQ12" s="24">
        <f>SUM(B12:AO12)</f>
        <v/>
      </c>
      <c r="AR12" s="30" t="n">
        <v>2</v>
      </c>
      <c r="AS12" s="29" t="inlineStr">
        <is>
          <t>x</t>
        </is>
      </c>
      <c r="AT12" s="30" t="n">
        <v>12</v>
      </c>
      <c r="AU12" s="30" t="n">
        <v>8</v>
      </c>
      <c r="AV12" s="29" t="inlineStr">
        <is>
          <t>PT</t>
        </is>
      </c>
      <c r="AW12" s="24">
        <f>AQ12*AU12</f>
        <v/>
      </c>
      <c r="AX12" s="84">
        <f>(AQ12*AR12*AT12*AU12)/12</f>
        <v/>
      </c>
      <c r="AY12" s="62" t="n">
        <v>845</v>
      </c>
      <c r="AZ12" s="7">
        <f>(AX12*AY12)/1000</f>
        <v/>
      </c>
      <c r="BA12" s="83">
        <f>AZ12*1.06</f>
        <v/>
      </c>
      <c r="BB12" s="53" t="inlineStr">
        <is>
          <t>68981045
68981048</t>
        </is>
      </c>
      <c r="BC12" s="53" t="n"/>
      <c r="BD12" s="53" t="n"/>
      <c r="BE12" s="53" t="n"/>
      <c r="BF12" s="24" t="n"/>
      <c r="BG12" s="24" t="n"/>
      <c r="BH12" s="24" t="n"/>
      <c r="BI12" s="24" t="n"/>
      <c r="BJ12" s="24" t="n"/>
      <c r="BK12" s="24" t="n"/>
      <c r="BL12" s="24" t="n"/>
      <c r="BM12" s="24">
        <f>253</f>
        <v/>
      </c>
      <c r="BN12" s="24" t="n"/>
      <c r="BO12" s="24" t="n"/>
      <c r="BP12" s="24" t="n">
        <v>64</v>
      </c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n"/>
      <c r="DR12" s="24" t="n"/>
      <c r="DS12" s="24" t="n"/>
      <c r="DT12" s="24" t="n"/>
      <c r="DU12" s="24" t="n"/>
      <c r="DV12" s="24">
        <f>SUM(BC12:DU12)</f>
        <v/>
      </c>
      <c r="DW12" s="24">
        <f>DV12*AU12</f>
        <v/>
      </c>
      <c r="DX12" s="24">
        <f>DV12*AR12*AT12*AU12/12</f>
        <v/>
      </c>
      <c r="DY12" s="7">
        <f>DX12*AY12/1000</f>
        <v/>
      </c>
      <c r="DZ12" s="23">
        <f>DY12*1.06</f>
        <v/>
      </c>
      <c r="EA12" s="22">
        <f>IFERROR(DY12/AZ12,0)</f>
        <v/>
      </c>
      <c r="EB12" s="24" t="n"/>
      <c r="EC12" s="24" t="n"/>
      <c r="ED12" s="24" t="n"/>
      <c r="EE12" s="24" t="n"/>
      <c r="EF12" s="24" t="n"/>
      <c r="EG12" s="24" t="n"/>
      <c r="EH12" s="24" t="n"/>
      <c r="EI12" s="24" t="n"/>
      <c r="EJ12" s="24" t="n"/>
      <c r="EK12" s="24" t="n"/>
      <c r="EL12" s="24" t="n"/>
      <c r="EM12" s="24" t="n"/>
    </row>
    <row r="13" ht="23.25" customFormat="1" customHeight="1" s="12">
      <c r="A13" s="85" t="inlineStr">
        <is>
          <t>Lumber</t>
        </is>
      </c>
      <c r="B13" s="30" t="n">
        <v>413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>
        <v>485</v>
      </c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24" t="n"/>
      <c r="AP13" s="24">
        <f>SUM(D13:AO13)</f>
        <v/>
      </c>
      <c r="AQ13" s="24">
        <f>SUM(B13:AO13)</f>
        <v/>
      </c>
      <c r="AR13" s="30" t="n">
        <v>2</v>
      </c>
      <c r="AS13" s="29" t="inlineStr">
        <is>
          <t>x</t>
        </is>
      </c>
      <c r="AT13" s="30" t="n">
        <v>12</v>
      </c>
      <c r="AU13" s="30" t="n">
        <v>10</v>
      </c>
      <c r="AV13" s="29" t="inlineStr">
        <is>
          <t>PT</t>
        </is>
      </c>
      <c r="AW13" s="24">
        <f>AQ13*AU13</f>
        <v/>
      </c>
      <c r="AX13" s="84">
        <f>(AQ13*AR13*AT13*AU13)/12</f>
        <v/>
      </c>
      <c r="AY13" s="62" t="n">
        <v>845</v>
      </c>
      <c r="AZ13" s="7">
        <f>(AX13*AY13)/1000</f>
        <v/>
      </c>
      <c r="BA13" s="83">
        <f>AZ13*1.06</f>
        <v/>
      </c>
      <c r="BB13" s="53" t="inlineStr">
        <is>
          <t>68981045
68981048</t>
        </is>
      </c>
      <c r="BC13" s="53" t="n"/>
      <c r="BD13" s="53" t="n"/>
      <c r="BE13" s="53" t="n"/>
      <c r="BF13" s="24" t="n"/>
      <c r="BG13" s="24" t="n"/>
      <c r="BH13" s="24" t="n"/>
      <c r="BI13" s="24" t="n"/>
      <c r="BJ13" s="24" t="n"/>
      <c r="BK13" s="24" t="n"/>
      <c r="BL13" s="24" t="n"/>
      <c r="BM13" s="24" t="n">
        <v>692</v>
      </c>
      <c r="BN13" s="24" t="n"/>
      <c r="BO13" s="24" t="n"/>
      <c r="BP13" s="24" t="n">
        <v>128</v>
      </c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  <c r="DR13" s="24" t="n"/>
      <c r="DS13" s="24" t="n"/>
      <c r="DT13" s="24" t="n"/>
      <c r="DU13" s="24" t="n"/>
      <c r="DV13" s="24">
        <f>SUM(BC13:DS13)</f>
        <v/>
      </c>
      <c r="DW13" s="24">
        <f>DV13*AU13</f>
        <v/>
      </c>
      <c r="DX13" s="24">
        <f>DV13*AR13*AT13*AU13/12</f>
        <v/>
      </c>
      <c r="DY13" s="7">
        <f>DX13*AY13/1000</f>
        <v/>
      </c>
      <c r="DZ13" s="23">
        <f>DY13*1.07</f>
        <v/>
      </c>
      <c r="EA13" s="22">
        <f>IFERROR(DY13/AZ13,0)</f>
        <v/>
      </c>
      <c r="EB13" s="24" t="n"/>
      <c r="EC13" s="24" t="n"/>
      <c r="ED13" s="24" t="n"/>
      <c r="EE13" s="24">
        <f>IF(EB13&lt;&gt;"",EB13*ED13,0)</f>
        <v/>
      </c>
      <c r="EF13" s="24">
        <f>DV13-EE13</f>
        <v/>
      </c>
      <c r="EG13" s="24">
        <f>EF13*AU13</f>
        <v/>
      </c>
      <c r="EH13" s="24">
        <f>(EF13*AR13*AT13*AU13)/12</f>
        <v/>
      </c>
      <c r="EI13" s="24">
        <f>IFERROR(EH13/DV13,0)</f>
        <v/>
      </c>
      <c r="EJ13" s="24">
        <f>IFERROR(EH13*AY13/1000,0)</f>
        <v/>
      </c>
      <c r="EK13" s="24">
        <f>EJ13*1.07</f>
        <v/>
      </c>
      <c r="EL13" s="24" t="n"/>
      <c r="EM13" s="24" t="n"/>
    </row>
    <row r="14" ht="11.65" customFormat="1" customHeight="1" s="12">
      <c r="A14" s="85" t="inlineStr">
        <is>
          <t>Lumber</t>
        </is>
      </c>
      <c r="B14" s="30" t="n">
        <v>354</v>
      </c>
      <c r="C14" s="30" t="n">
        <v>-189</v>
      </c>
      <c r="D14" s="30" t="n"/>
      <c r="E14" s="30" t="n"/>
      <c r="F14" s="148" t="n"/>
      <c r="G14" s="148" t="n"/>
      <c r="H14" s="148" t="n"/>
      <c r="I14" s="148" t="n"/>
      <c r="J14" s="148" t="n"/>
      <c r="K14" s="148">
        <f>-27387/12+905</f>
        <v/>
      </c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48" t="n"/>
      <c r="U14" s="148" t="n"/>
      <c r="V14" s="148" t="n"/>
      <c r="W14" s="148" t="n"/>
      <c r="X14" s="148" t="n"/>
      <c r="Y14" s="148" t="n"/>
      <c r="Z14" s="148" t="n"/>
      <c r="AA14" s="148" t="n"/>
      <c r="AB14" s="148" t="n"/>
      <c r="AC14" s="148" t="n"/>
      <c r="AD14" s="148" t="n"/>
      <c r="AE14" s="148" t="n"/>
      <c r="AF14" s="148" t="n"/>
      <c r="AG14" s="148" t="n"/>
      <c r="AH14" s="148" t="n"/>
      <c r="AI14" s="148" t="n"/>
      <c r="AJ14" s="148" t="n"/>
      <c r="AK14" s="148" t="n"/>
      <c r="AL14" s="148" t="n"/>
      <c r="AM14" s="148" t="n"/>
      <c r="AN14" s="148" t="n"/>
      <c r="AO14" s="24" t="n"/>
      <c r="AP14" s="24">
        <f>SUM(D14:AO14)</f>
        <v/>
      </c>
      <c r="AQ14" s="24">
        <f>SUM(B14:AO14)</f>
        <v/>
      </c>
      <c r="AR14" s="30" t="n">
        <v>2</v>
      </c>
      <c r="AS14" s="29" t="inlineStr">
        <is>
          <t>x</t>
        </is>
      </c>
      <c r="AT14" s="30" t="n">
        <v>12</v>
      </c>
      <c r="AU14" s="30" t="n">
        <v>12</v>
      </c>
      <c r="AV14" s="29" t="inlineStr">
        <is>
          <t>PT</t>
        </is>
      </c>
      <c r="AW14" s="24">
        <f>AQ14*AU14</f>
        <v/>
      </c>
      <c r="AX14" s="84">
        <f>(AQ14*AR14*AT14*AU14)/12</f>
        <v/>
      </c>
      <c r="AY14" s="62" t="n">
        <v>845</v>
      </c>
      <c r="AZ14" s="7">
        <f>(AX14*AY14)/1000</f>
        <v/>
      </c>
      <c r="BA14" s="83">
        <f>AZ14*1.06</f>
        <v/>
      </c>
      <c r="BB14" s="53" t="inlineStr">
        <is>
          <t>68981040
68981047
68981048</t>
        </is>
      </c>
      <c r="BC14" s="53" t="n"/>
      <c r="BD14" s="53" t="n"/>
      <c r="BE14" s="53" t="n"/>
      <c r="BF14" s="24" t="n"/>
      <c r="BG14" s="24" t="n"/>
      <c r="BH14" s="24" t="n"/>
      <c r="BI14" s="24" t="n"/>
      <c r="BJ14" s="24" t="n"/>
      <c r="BK14" s="24" t="n"/>
      <c r="BL14" s="24" t="n"/>
      <c r="BM14" s="24" t="n">
        <v>256</v>
      </c>
      <c r="BN14" s="24" t="n"/>
      <c r="BO14" s="24" t="n">
        <v>64</v>
      </c>
      <c r="BP14" s="24" t="n">
        <v>448</v>
      </c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n"/>
      <c r="DR14" s="24" t="n"/>
      <c r="DS14" s="24" t="n"/>
      <c r="DT14" s="24" t="n"/>
      <c r="DU14" s="24" t="n"/>
      <c r="DV14" s="24">
        <f>SUM(BC14:DS14)</f>
        <v/>
      </c>
      <c r="DW14" s="24">
        <f>DV14*AU14</f>
        <v/>
      </c>
      <c r="DX14" s="24">
        <f>DV14*AR14*AT14*AU14/12</f>
        <v/>
      </c>
      <c r="DY14" s="7">
        <f>DX14*AY14/1000</f>
        <v/>
      </c>
      <c r="DZ14" s="23">
        <f>DY14*1.07</f>
        <v/>
      </c>
      <c r="EA14" s="22">
        <f>IFERROR(DY14/AZ14,0)</f>
        <v/>
      </c>
      <c r="EB14" s="24" t="n"/>
      <c r="EC14" s="24" t="n"/>
      <c r="ED14" s="24" t="n"/>
      <c r="EE14" s="24">
        <f>IF(EB14&lt;&gt;"",EB14*ED14,0)</f>
        <v/>
      </c>
      <c r="EF14" s="24">
        <f>DV14-EE14</f>
        <v/>
      </c>
      <c r="EG14" s="24">
        <f>EF14*AU14</f>
        <v/>
      </c>
      <c r="EH14" s="24">
        <f>(EF14*AR14*AT14*AU14)/12</f>
        <v/>
      </c>
      <c r="EI14" s="24">
        <f>IFERROR(EH14/DV14,0)</f>
        <v/>
      </c>
      <c r="EJ14" s="24">
        <f>IFERROR(EH14*AY14/1000,0)</f>
        <v/>
      </c>
      <c r="EK14" s="24">
        <f>EJ14*1.07</f>
        <v/>
      </c>
      <c r="EL14" s="24" t="n"/>
      <c r="EM14" s="24" t="n"/>
    </row>
    <row r="15" ht="34.9" customFormat="1" customHeight="1" s="12">
      <c r="A15" s="85" t="inlineStr">
        <is>
          <t>Lumber</t>
        </is>
      </c>
      <c r="B15" s="30" t="n">
        <v>703</v>
      </c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24" t="n"/>
      <c r="AP15" s="24">
        <f>SUM(D15:AO15)</f>
        <v/>
      </c>
      <c r="AQ15" s="24">
        <f>SUM(B15:AO15)</f>
        <v/>
      </c>
      <c r="AR15" s="30" t="n">
        <v>2</v>
      </c>
      <c r="AS15" s="29" t="inlineStr">
        <is>
          <t>x</t>
        </is>
      </c>
      <c r="AT15" s="30" t="n">
        <v>12</v>
      </c>
      <c r="AU15" s="30" t="n">
        <v>12</v>
      </c>
      <c r="AV15" s="29" t="inlineStr">
        <is>
          <t>PT</t>
        </is>
      </c>
      <c r="AW15" s="24">
        <f>AQ15*AU15</f>
        <v/>
      </c>
      <c r="AX15" s="84">
        <f>(AQ15*AR15*AT15*AU15)/12</f>
        <v/>
      </c>
      <c r="AY15" s="62" t="n">
        <v>845</v>
      </c>
      <c r="AZ15" s="7">
        <f>(AX15*AY15)/1000</f>
        <v/>
      </c>
      <c r="BA15" s="83">
        <f>AZ15*1.06</f>
        <v/>
      </c>
      <c r="BB15" s="53" t="inlineStr">
        <is>
          <t>68981040
68981047
68981048</t>
        </is>
      </c>
      <c r="BC15" s="53" t="n"/>
      <c r="BD15" s="53" t="n"/>
      <c r="BE15" s="53" t="n"/>
      <c r="BF15" s="24" t="n"/>
      <c r="BG15" s="24" t="n"/>
      <c r="BH15" s="24" t="n"/>
      <c r="BI15" s="24" t="n"/>
      <c r="BJ15" s="24" t="n"/>
      <c r="BK15" s="24" t="n"/>
      <c r="BL15" s="24" t="n"/>
      <c r="BM15" s="24" t="n">
        <v>256</v>
      </c>
      <c r="BN15" s="24" t="n"/>
      <c r="BO15" s="24" t="n">
        <v>64</v>
      </c>
      <c r="BP15" s="24" t="n">
        <v>448</v>
      </c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n"/>
      <c r="DR15" s="24" t="n"/>
      <c r="DS15" s="24" t="n"/>
      <c r="DT15" s="24" t="n"/>
      <c r="DU15" s="24" t="n"/>
      <c r="DV15" s="24">
        <f>SUM(BC15:DS15)</f>
        <v/>
      </c>
      <c r="DW15" s="24">
        <f>DV15*AU15</f>
        <v/>
      </c>
      <c r="DX15" s="24">
        <f>DV15*AR15*AT15*AU15/12</f>
        <v/>
      </c>
      <c r="DY15" s="7">
        <f>DX15*AY15/1000</f>
        <v/>
      </c>
      <c r="DZ15" s="23">
        <f>DY15*1.07</f>
        <v/>
      </c>
      <c r="EA15" s="22">
        <f>IFERROR(DY15/AZ15,0)</f>
        <v/>
      </c>
      <c r="EB15" s="24" t="n"/>
      <c r="EC15" s="24" t="n"/>
      <c r="ED15" s="24" t="n"/>
      <c r="EE15" s="24">
        <f>IF(EB15&lt;&gt;"",EB15*ED15,0)</f>
        <v/>
      </c>
      <c r="EF15" s="24">
        <f>DV15-EE15</f>
        <v/>
      </c>
      <c r="EG15" s="24">
        <f>EF15*AU15</f>
        <v/>
      </c>
      <c r="EH15" s="24">
        <f>(EF15*AR15*AT15*AU15)/12</f>
        <v/>
      </c>
      <c r="EI15" s="24">
        <f>IFERROR(EH15/DV15,0)</f>
        <v/>
      </c>
      <c r="EJ15" s="24">
        <f>IFERROR(EH15*AY15/1000,0)</f>
        <v/>
      </c>
      <c r="EK15" s="24">
        <f>EJ15*1.07</f>
        <v/>
      </c>
      <c r="EL15" s="24" t="n"/>
      <c r="EM15" s="24" t="n"/>
    </row>
    <row r="16" ht="34.9" customFormat="1" customHeight="1" s="12">
      <c r="A16" s="85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>
        <v>345</v>
      </c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24" t="n"/>
      <c r="AP16" s="24">
        <f>SUM(D16:AO16)</f>
        <v/>
      </c>
      <c r="AQ16" s="24">
        <f>SUM(B16:AO16)</f>
        <v/>
      </c>
      <c r="AR16" s="30" t="n">
        <v>2</v>
      </c>
      <c r="AS16" s="29" t="inlineStr">
        <is>
          <t>x</t>
        </is>
      </c>
      <c r="AT16" s="30" t="n">
        <v>12</v>
      </c>
      <c r="AU16" s="30" t="n">
        <v>14</v>
      </c>
      <c r="AV16" s="29" t="inlineStr">
        <is>
          <t>PT</t>
        </is>
      </c>
      <c r="AW16" s="24">
        <f>AQ16*AU16</f>
        <v/>
      </c>
      <c r="AX16" s="84">
        <f>(AQ16*AR16*AT16*AU16)/12</f>
        <v/>
      </c>
      <c r="AY16" s="62" t="n">
        <v>845</v>
      </c>
      <c r="AZ16" s="7">
        <f>(AX16*AY16)/1000</f>
        <v/>
      </c>
      <c r="BA16" s="83">
        <f>AZ16*1.06</f>
        <v/>
      </c>
      <c r="BB16" s="53" t="inlineStr">
        <is>
          <t>68981028 68981142
68981047</t>
        </is>
      </c>
      <c r="BC16" s="53" t="n"/>
      <c r="BD16" s="53" t="n"/>
      <c r="BE16" s="53" t="n"/>
      <c r="BF16" s="24" t="n"/>
      <c r="BG16" s="24" t="n"/>
      <c r="BH16" s="24" t="n"/>
      <c r="BI16" s="24" t="n">
        <v>128</v>
      </c>
      <c r="BJ16" s="24" t="n"/>
      <c r="BK16" s="24" t="n"/>
      <c r="BL16" s="24" t="n"/>
      <c r="BM16" s="24" t="n">
        <v>319</v>
      </c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>
        <f>26*14</f>
        <v/>
      </c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n"/>
      <c r="DR16" s="24" t="n"/>
      <c r="DS16" s="24" t="n"/>
      <c r="DT16" s="24" t="n"/>
      <c r="DU16" s="24" t="n"/>
      <c r="DV16" s="24">
        <f>SUM(BC16:DU16)</f>
        <v/>
      </c>
      <c r="DW16" s="24">
        <f>DV16*AU16</f>
        <v/>
      </c>
      <c r="DX16" s="24">
        <f>DV16*AR16*AT16*AU16/12</f>
        <v/>
      </c>
      <c r="DY16" s="7">
        <f>DX16*AY16/1000</f>
        <v/>
      </c>
      <c r="DZ16" s="23">
        <f>DY16*1.06</f>
        <v/>
      </c>
      <c r="EA16" s="22">
        <f>IFERROR(DY16/AZ16,0)</f>
        <v/>
      </c>
      <c r="EB16" s="24" t="n"/>
      <c r="EC16" s="24" t="n"/>
      <c r="ED16" s="24" t="n"/>
      <c r="EE16" s="24" t="n"/>
      <c r="EF16" s="24" t="n"/>
      <c r="EG16" s="24" t="n"/>
      <c r="EH16" s="24" t="n"/>
      <c r="EI16" s="24" t="n"/>
      <c r="EJ16" s="24" t="n"/>
      <c r="EK16" s="24" t="n"/>
      <c r="EL16" s="24" t="n"/>
      <c r="EM16" s="24" t="n"/>
    </row>
    <row r="17" ht="11.65" customFormat="1" customHeight="1" s="12">
      <c r="A17" s="85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>
        <v>26</v>
      </c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24" t="n"/>
      <c r="AP17" s="24">
        <f>SUM(D17:AO17)</f>
        <v/>
      </c>
      <c r="AQ17" s="24">
        <f>SUM(B17:AO17)</f>
        <v/>
      </c>
      <c r="AR17" s="30" t="n">
        <v>2</v>
      </c>
      <c r="AS17" s="29" t="inlineStr">
        <is>
          <t>x</t>
        </is>
      </c>
      <c r="AT17" s="30" t="n">
        <v>12</v>
      </c>
      <c r="AU17" s="30" t="n">
        <v>18</v>
      </c>
      <c r="AV17" s="29" t="inlineStr">
        <is>
          <t>PT</t>
        </is>
      </c>
      <c r="AW17" s="24">
        <f>AQ17*AU17</f>
        <v/>
      </c>
      <c r="AX17" s="84">
        <f>(AQ17*AR17*AT17*AU17)/12</f>
        <v/>
      </c>
      <c r="AY17" s="62" t="n">
        <v>845</v>
      </c>
      <c r="AZ17" s="7">
        <f>(AX17*AY17)/1000</f>
        <v/>
      </c>
      <c r="BA17" s="83">
        <f>AZ17*1.06</f>
        <v/>
      </c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n"/>
      <c r="DR17" s="24" t="n"/>
      <c r="DS17" s="24" t="n"/>
      <c r="DT17" s="24" t="n"/>
      <c r="DU17" s="24" t="n"/>
      <c r="DV17" s="24">
        <f>SUM(BC17:DU17)</f>
        <v/>
      </c>
      <c r="DW17" s="24">
        <f>DV17*AU17</f>
        <v/>
      </c>
      <c r="DX17" s="24">
        <f>DV17*AR17*AT17*AU17/12</f>
        <v/>
      </c>
      <c r="DY17" s="7">
        <f>DX17*AY17/1000</f>
        <v/>
      </c>
      <c r="DZ17" s="23">
        <f>DY17*1.06</f>
        <v/>
      </c>
      <c r="EA17" s="22">
        <f>IFERROR(DY17/AZ17,0)</f>
        <v/>
      </c>
      <c r="EB17" s="24" t="n"/>
      <c r="EC17" s="24" t="n"/>
      <c r="ED17" s="24" t="n"/>
      <c r="EE17" s="24" t="n"/>
      <c r="EF17" s="24" t="n"/>
      <c r="EG17" s="24" t="n"/>
      <c r="EH17" s="24" t="n"/>
      <c r="EI17" s="24" t="n"/>
      <c r="EJ17" s="24" t="n"/>
      <c r="EK17" s="24" t="n"/>
      <c r="EL17" s="24" t="n"/>
      <c r="EM17" s="24" t="n"/>
    </row>
    <row r="18" ht="11.65" customFormat="1" customHeight="1" s="12">
      <c r="A18" s="85" t="inlineStr">
        <is>
          <t>Lumber</t>
        </is>
      </c>
      <c r="B18" s="30" t="n">
        <v>8</v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>
        <v>-8</v>
      </c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24" t="n"/>
      <c r="AP18" s="24">
        <f>SUM(D18:AO18)</f>
        <v/>
      </c>
      <c r="AQ18" s="24">
        <f>SUM(B18:AO18)</f>
        <v/>
      </c>
      <c r="AR18" s="30" t="n">
        <v>3</v>
      </c>
      <c r="AS18" s="29" t="inlineStr">
        <is>
          <t>x</t>
        </is>
      </c>
      <c r="AT18" s="30" t="n">
        <v>10</v>
      </c>
      <c r="AU18" s="30" t="n">
        <v>12</v>
      </c>
      <c r="AV18" s="29" t="inlineStr">
        <is>
          <t>PT</t>
        </is>
      </c>
      <c r="AW18" s="24">
        <f>AQ18*AU18</f>
        <v/>
      </c>
      <c r="AX18" s="84">
        <f>(AQ18*AR18*AT18*AU18)/12</f>
        <v/>
      </c>
      <c r="AY18" s="62" t="n">
        <v>1500</v>
      </c>
      <c r="AZ18" s="7">
        <f>(AX18*AY18)/1000</f>
        <v/>
      </c>
      <c r="BA18" s="83">
        <f>AZ18*1.06</f>
        <v/>
      </c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n"/>
      <c r="DR18" s="24" t="n"/>
      <c r="DS18" s="24" t="n"/>
      <c r="DT18" s="24" t="n"/>
      <c r="DU18" s="24" t="n"/>
      <c r="DV18" s="24">
        <f>SUM(BC18:DS18)</f>
        <v/>
      </c>
      <c r="DW18" s="24">
        <f>DV18*AU18</f>
        <v/>
      </c>
      <c r="DX18" s="24">
        <f>DV18*AR18*AT18*AU18/12</f>
        <v/>
      </c>
      <c r="DY18" s="7">
        <f>DX18*AY18/1000</f>
        <v/>
      </c>
      <c r="DZ18" s="23">
        <f>DY18*1.07</f>
        <v/>
      </c>
      <c r="EA18" s="22">
        <f>IFERROR(DY18/AZ18,0)</f>
        <v/>
      </c>
      <c r="EB18" s="24" t="n"/>
      <c r="EC18" s="24" t="n"/>
      <c r="ED18" s="24" t="n"/>
      <c r="EE18" s="24">
        <f>IF(EB18&lt;&gt;"",EB18*ED18,0)</f>
        <v/>
      </c>
      <c r="EF18" s="24">
        <f>DV18-EE18</f>
        <v/>
      </c>
      <c r="EG18" s="24">
        <f>EF18*AU18</f>
        <v/>
      </c>
      <c r="EH18" s="24">
        <f>(EF18*AR18*AT18*AU18)/12</f>
        <v/>
      </c>
      <c r="EI18" s="24">
        <f>IFERROR(EH18/DV18,0)</f>
        <v/>
      </c>
      <c r="EJ18" s="24">
        <f>IFERROR(EH18*AY18/1000,0)</f>
        <v/>
      </c>
      <c r="EK18" s="24">
        <f>EJ18*1.07</f>
        <v/>
      </c>
      <c r="EL18" s="24" t="n"/>
      <c r="EM18" s="24" t="n"/>
    </row>
    <row r="19" ht="11.65" customFormat="1" customHeight="1" s="12">
      <c r="A19" s="85" t="n"/>
      <c r="B19" s="30" t="n"/>
      <c r="C19" s="30" t="n">
        <v>-3</v>
      </c>
      <c r="D19" s="30" t="n"/>
      <c r="E19" s="30" t="n"/>
      <c r="F19" s="30" t="n"/>
      <c r="G19" s="30" t="n"/>
      <c r="H19" s="30" t="n"/>
      <c r="I19" s="30" t="n"/>
      <c r="J19" s="30" t="n"/>
      <c r="K19" s="30" t="n">
        <v>3</v>
      </c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24" t="n"/>
      <c r="AP19" s="24">
        <f>SUM(D19:AO19)</f>
        <v/>
      </c>
      <c r="AQ19" s="24">
        <f>SUM(B19:AO19)</f>
        <v/>
      </c>
      <c r="AR19" s="30" t="n">
        <v>6</v>
      </c>
      <c r="AS19" s="29" t="inlineStr">
        <is>
          <t>x</t>
        </is>
      </c>
      <c r="AT19" s="30" t="n">
        <v>6</v>
      </c>
      <c r="AU19" s="30" t="n">
        <v>18</v>
      </c>
      <c r="AV19" s="29" t="inlineStr">
        <is>
          <t>PT</t>
        </is>
      </c>
      <c r="AW19" s="24">
        <f>AQ19*AU19</f>
        <v/>
      </c>
      <c r="AX19" s="84">
        <f>(AQ19*AR19*AT19*AU19)/12</f>
        <v/>
      </c>
      <c r="AY19" s="62" t="n">
        <v>1475</v>
      </c>
      <c r="AZ19" s="7">
        <f>(AX19*AY19)/1000</f>
        <v/>
      </c>
      <c r="BA19" s="83">
        <f>AZ19*1.06</f>
        <v/>
      </c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n"/>
      <c r="DR19" s="24" t="n"/>
      <c r="DS19" s="24" t="n"/>
      <c r="DT19" s="24" t="n"/>
      <c r="DU19" s="24" t="n"/>
      <c r="DV19" s="24">
        <f>SUM(BC19:DU19)</f>
        <v/>
      </c>
      <c r="DW19" s="24">
        <f>DV19*AU19</f>
        <v/>
      </c>
      <c r="DX19" s="24">
        <f>DV19*AR19*AT19*AU19/12</f>
        <v/>
      </c>
      <c r="DY19" s="7">
        <f>DX19*AY19/1000</f>
        <v/>
      </c>
      <c r="DZ19" s="23">
        <f>DY19*1.06</f>
        <v/>
      </c>
      <c r="EA19" s="22">
        <f>IFERROR(DY19/AZ19,0)</f>
        <v/>
      </c>
      <c r="EB19" s="24" t="n"/>
      <c r="EC19" s="24" t="n"/>
      <c r="ED19" s="24" t="n"/>
      <c r="EE19" s="24" t="n"/>
      <c r="EF19" s="24" t="n"/>
      <c r="EG19" s="24" t="n"/>
      <c r="EH19" s="24" t="n"/>
      <c r="EI19" s="24" t="n"/>
      <c r="EJ19" s="24" t="n"/>
      <c r="EK19" s="24" t="n"/>
      <c r="EL19" s="24" t="n"/>
      <c r="EM19" s="24" t="n"/>
    </row>
    <row r="20" ht="11.65" customFormat="1" customHeight="1" s="12">
      <c r="A20" s="85" t="inlineStr">
        <is>
          <t>Lumber</t>
        </is>
      </c>
      <c r="B20" s="30" t="n">
        <v>2</v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>
        <v>-2</v>
      </c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24" t="n"/>
      <c r="AP20" s="24">
        <f>SUM(D20:AO20)</f>
        <v/>
      </c>
      <c r="AQ20" s="24">
        <f>SUM(B20:AO20)</f>
        <v/>
      </c>
      <c r="AR20" s="30" t="n">
        <v>8</v>
      </c>
      <c r="AS20" s="29" t="inlineStr">
        <is>
          <t>x</t>
        </is>
      </c>
      <c r="AT20" s="30" t="n">
        <v>8</v>
      </c>
      <c r="AU20" s="30" t="n">
        <v>12</v>
      </c>
      <c r="AV20" s="29" t="inlineStr">
        <is>
          <t>PT</t>
        </is>
      </c>
      <c r="AW20" s="24">
        <f>AQ20*AU20</f>
        <v/>
      </c>
      <c r="AX20" s="84">
        <f>(AQ20*AR20*AT20*AU20)/12</f>
        <v/>
      </c>
      <c r="AY20" s="62" t="n">
        <v>1850</v>
      </c>
      <c r="AZ20" s="7">
        <f>(AX20*AY20)/1000</f>
        <v/>
      </c>
      <c r="BA20" s="83">
        <f>AZ20*1.06</f>
        <v/>
      </c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n"/>
      <c r="DR20" s="24" t="n"/>
      <c r="DS20" s="24" t="n"/>
      <c r="DT20" s="24" t="n"/>
      <c r="DU20" s="24" t="n"/>
      <c r="DV20" s="24">
        <f>SUM(BC20:DS20)</f>
        <v/>
      </c>
      <c r="DW20" s="24">
        <f>DV20*AU20</f>
        <v/>
      </c>
      <c r="DX20" s="24">
        <f>DV20*AR20*AT20*AU20/12</f>
        <v/>
      </c>
      <c r="DY20" s="7">
        <f>DX20*AY20/1000</f>
        <v/>
      </c>
      <c r="DZ20" s="23">
        <f>DY20*1.07</f>
        <v/>
      </c>
      <c r="EA20" s="22">
        <f>IFERROR(DY20/AZ20,0)</f>
        <v/>
      </c>
      <c r="EB20" s="24" t="n"/>
      <c r="EC20" s="24" t="n"/>
      <c r="ED20" s="24" t="n"/>
      <c r="EE20" s="24">
        <f>IF(EB20&lt;&gt;"",EB20*ED20,0)</f>
        <v/>
      </c>
      <c r="EF20" s="24">
        <f>DV20-EE20</f>
        <v/>
      </c>
      <c r="EG20" s="24">
        <f>EF20*AU20</f>
        <v/>
      </c>
      <c r="EH20" s="24">
        <f>(EF20*AR20*AT20*AU20)/12</f>
        <v/>
      </c>
      <c r="EI20" s="24">
        <f>IFERROR(EH20/DV20,0)</f>
        <v/>
      </c>
      <c r="EJ20" s="24">
        <f>IFERROR(EH20*AY20/1000,0)</f>
        <v/>
      </c>
      <c r="EK20" s="24">
        <f>EJ20*1.07</f>
        <v/>
      </c>
      <c r="EL20" s="24" t="n"/>
      <c r="EM20" s="24" t="n"/>
    </row>
    <row r="21" ht="11.65" customFormat="1" customHeight="1" s="139">
      <c r="A21" s="146" t="n"/>
      <c r="B21" s="147" t="n"/>
      <c r="C21" s="147" t="n">
        <v>-5</v>
      </c>
      <c r="D21" s="147" t="n"/>
      <c r="E21" s="147" t="n"/>
      <c r="F21" s="147" t="n"/>
      <c r="G21" s="147" t="n"/>
      <c r="H21" s="147" t="n"/>
      <c r="I21" s="147" t="n"/>
      <c r="J21" s="147" t="n"/>
      <c r="K21" s="147" t="n">
        <v>130</v>
      </c>
      <c r="L21" s="147" t="n"/>
      <c r="M21" s="147" t="n"/>
      <c r="N21" s="147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  <c r="AA21" s="147" t="n"/>
      <c r="AB21" s="147" t="n"/>
      <c r="AC21" s="147" t="n"/>
      <c r="AD21" s="147" t="n"/>
      <c r="AE21" s="147" t="n"/>
      <c r="AF21" s="147" t="n"/>
      <c r="AG21" s="147" t="n"/>
      <c r="AH21" s="147" t="n"/>
      <c r="AI21" s="147" t="n"/>
      <c r="AJ21" s="147" t="n"/>
      <c r="AK21" s="147" t="n"/>
      <c r="AL21" s="147" t="n"/>
      <c r="AM21" s="147" t="n"/>
      <c r="AN21" s="147" t="n"/>
      <c r="AO21" s="140" t="n"/>
      <c r="AP21" s="140">
        <f>SUM(D21:AO21)</f>
        <v/>
      </c>
      <c r="AQ21" s="140">
        <f>SUM(B21:AO21)</f>
        <v/>
      </c>
      <c r="AR21" s="147" t="n">
        <v>8</v>
      </c>
      <c r="AS21" s="146" t="inlineStr">
        <is>
          <t>x</t>
        </is>
      </c>
      <c r="AT21" s="147" t="n">
        <v>8</v>
      </c>
      <c r="AU21" s="147" t="n">
        <v>26</v>
      </c>
      <c r="AV21" s="146" t="inlineStr">
        <is>
          <t>GLB MCA</t>
        </is>
      </c>
      <c r="AW21" s="140">
        <f>AQ21*AU21</f>
        <v/>
      </c>
      <c r="AX21" s="144">
        <f>(AQ21*AR21*AT21*AU21)/12</f>
        <v/>
      </c>
      <c r="AY21" s="145" t="n">
        <v>46</v>
      </c>
      <c r="AZ21" s="143">
        <f>(AX21*AY21)/1000</f>
        <v/>
      </c>
      <c r="BA21" s="143">
        <f>AZ21*1.06</f>
        <v/>
      </c>
      <c r="BB21" s="140" t="n">
        <v>68981049</v>
      </c>
      <c r="BC21" s="140" t="n"/>
      <c r="BD21" s="140" t="n"/>
      <c r="BE21" s="140" t="n"/>
      <c r="BF21" s="140" t="n"/>
      <c r="BG21" s="140" t="n"/>
      <c r="BH21" s="140" t="n"/>
      <c r="BI21" s="140" t="n"/>
      <c r="BJ21" s="140" t="n"/>
      <c r="BK21" s="140" t="n"/>
      <c r="BL21" s="140" t="n"/>
      <c r="BM21" s="140" t="n"/>
      <c r="BN21" s="140" t="n"/>
      <c r="BO21" s="140" t="n"/>
      <c r="BP21" s="140" t="n"/>
      <c r="BQ21" s="140" t="n"/>
      <c r="BR21" s="140" t="n"/>
      <c r="BS21" s="140" t="n"/>
      <c r="BT21" s="140" t="n"/>
      <c r="BU21" s="140" t="n"/>
      <c r="BV21" s="140" t="n"/>
      <c r="BW21" s="140" t="n"/>
      <c r="BX21" s="140" t="n"/>
      <c r="BY21" s="140" t="n"/>
      <c r="BZ21" s="140" t="n"/>
      <c r="CA21" s="140">
        <f>5</f>
        <v/>
      </c>
      <c r="CB21" s="140" t="n"/>
      <c r="CC21" s="140" t="n"/>
      <c r="CD21" s="140" t="n"/>
      <c r="CE21" s="140" t="n"/>
      <c r="CF21" s="140" t="n"/>
      <c r="CG21" s="140" t="n"/>
      <c r="CH21" s="140" t="n"/>
      <c r="CI21" s="140" t="n"/>
      <c r="CJ21" s="140" t="n"/>
      <c r="CK21" s="140" t="n"/>
      <c r="CL21" s="140" t="n"/>
      <c r="CM21" s="140" t="n"/>
      <c r="CN21" s="140" t="n"/>
      <c r="CO21" s="140" t="n"/>
      <c r="CP21" s="140" t="n"/>
      <c r="CQ21" s="140" t="n"/>
      <c r="CR21" s="140" t="n"/>
      <c r="CS21" s="140" t="n"/>
      <c r="CT21" s="140" t="n"/>
      <c r="CU21" s="140" t="n"/>
      <c r="CV21" s="140" t="n"/>
      <c r="CW21" s="140" t="n"/>
      <c r="CX21" s="140" t="n"/>
      <c r="CY21" s="140" t="n"/>
      <c r="CZ21" s="140" t="n"/>
      <c r="DA21" s="140" t="n"/>
      <c r="DB21" s="140" t="n"/>
      <c r="DC21" s="140" t="n"/>
      <c r="DD21" s="140" t="n"/>
      <c r="DE21" s="140" t="n"/>
      <c r="DF21" s="140" t="n"/>
      <c r="DG21" s="140" t="n"/>
      <c r="DH21" s="140" t="n"/>
      <c r="DI21" s="140" t="n"/>
      <c r="DJ21" s="140" t="n"/>
      <c r="DK21" s="140" t="n"/>
      <c r="DL21" s="140" t="n"/>
      <c r="DM21" s="140" t="n"/>
      <c r="DN21" s="140" t="n"/>
      <c r="DO21" s="140" t="n"/>
      <c r="DP21" s="140" t="n"/>
      <c r="DQ21" s="140" t="n"/>
      <c r="DR21" s="140" t="n"/>
      <c r="DS21" s="140" t="n"/>
      <c r="DT21" s="140" t="n"/>
      <c r="DU21" s="140" t="n"/>
      <c r="DV21" s="140">
        <f>SUM(BC21:DU21)</f>
        <v/>
      </c>
      <c r="DW21" s="140">
        <f>DV21*AU21</f>
        <v/>
      </c>
      <c r="DX21" s="144">
        <f>DV21*AR21*AT21*AU21/12</f>
        <v/>
      </c>
      <c r="DY21" s="143">
        <f>DW21*AY21</f>
        <v/>
      </c>
      <c r="DZ21" s="142">
        <f>DY21*1.06</f>
        <v/>
      </c>
      <c r="EA21" s="141">
        <f>IFERROR(DY21/AZ21,0)</f>
        <v/>
      </c>
      <c r="EB21" s="140" t="n"/>
      <c r="EC21" s="140" t="n"/>
      <c r="ED21" s="140" t="n"/>
      <c r="EE21" s="140" t="n"/>
      <c r="EF21" s="140" t="n"/>
      <c r="EG21" s="140" t="n"/>
      <c r="EH21" s="140" t="n"/>
      <c r="EI21" s="140" t="n"/>
      <c r="EJ21" s="140" t="n"/>
      <c r="EK21" s="140" t="n"/>
      <c r="EL21" s="140" t="n"/>
      <c r="EM21" s="140" t="n"/>
    </row>
    <row r="22" ht="11.65" customFormat="1" customHeight="1" s="12">
      <c r="A22" s="85" t="inlineStr">
        <is>
          <t>Lumber</t>
        </is>
      </c>
      <c r="B22" s="30" t="n">
        <v>2</v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>
        <v>-2</v>
      </c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24" t="n"/>
      <c r="AP22" s="24">
        <f>SUM(D22:AO22)</f>
        <v/>
      </c>
      <c r="AQ22" s="24">
        <f>SUM(B22:AO22)</f>
        <v/>
      </c>
      <c r="AR22" s="30" t="n">
        <v>12</v>
      </c>
      <c r="AS22" s="29" t="inlineStr">
        <is>
          <t>x</t>
        </is>
      </c>
      <c r="AT22" s="30" t="n">
        <v>12</v>
      </c>
      <c r="AU22" s="30" t="n">
        <v>12</v>
      </c>
      <c r="AV22" s="29" t="inlineStr">
        <is>
          <t>PT</t>
        </is>
      </c>
      <c r="AW22" s="24">
        <f>AQ22*AU22</f>
        <v/>
      </c>
      <c r="AX22" s="84">
        <f>(AQ22*AR22*AT22*AU22)/12</f>
        <v/>
      </c>
      <c r="AY22" s="62" t="n">
        <v>2400</v>
      </c>
      <c r="AZ22" s="7">
        <f>(AX22*AY22)/1000</f>
        <v/>
      </c>
      <c r="BA22" s="83">
        <f>AZ22*1.06</f>
        <v/>
      </c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n"/>
      <c r="DR22" s="24" t="n"/>
      <c r="DS22" s="24" t="n"/>
      <c r="DT22" s="24" t="n"/>
      <c r="DU22" s="24" t="n"/>
      <c r="DV22" s="24">
        <f>SUM(BC22:DS22)</f>
        <v/>
      </c>
      <c r="DW22" s="24">
        <f>DV22*AU22</f>
        <v/>
      </c>
      <c r="DX22" s="24">
        <f>DV22*AR22*AT22*AU22/12</f>
        <v/>
      </c>
      <c r="DY22" s="7">
        <f>DX22*AY22/1000</f>
        <v/>
      </c>
      <c r="DZ22" s="23">
        <f>DY22*1.07</f>
        <v/>
      </c>
      <c r="EA22" s="22">
        <f>IFERROR(DY22/AZ22,0)</f>
        <v/>
      </c>
      <c r="EB22" s="24" t="n"/>
      <c r="EC22" s="24" t="n"/>
      <c r="ED22" s="24" t="n"/>
      <c r="EE22" s="24">
        <f>IF(EB22&lt;&gt;"",EB22*ED22,0)</f>
        <v/>
      </c>
      <c r="EF22" s="24">
        <f>DV22-EE22</f>
        <v/>
      </c>
      <c r="EG22" s="24">
        <f>EF22*AU22</f>
        <v/>
      </c>
      <c r="EH22" s="24">
        <f>(EF22*AR22*AT22*AU22)/12</f>
        <v/>
      </c>
      <c r="EI22" s="24">
        <f>IFERROR(EH22/DV22,0)</f>
        <v/>
      </c>
      <c r="EJ22" s="24">
        <f>IFERROR(EH22*AY22/1000,0)</f>
        <v/>
      </c>
      <c r="EK22" s="24">
        <f>EJ22*1.07</f>
        <v/>
      </c>
      <c r="EL22" s="24" t="n"/>
      <c r="EM22" s="24" t="n"/>
    </row>
    <row r="23" ht="11.65" customFormat="1" customHeight="1" s="12">
      <c r="A23" s="85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>
        <v>256</v>
      </c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24" t="n"/>
      <c r="AP23" s="24">
        <f>SUM(D23:AO23)</f>
        <v/>
      </c>
      <c r="AQ23" s="24">
        <f>SUM(B23:AO23)</f>
        <v/>
      </c>
      <c r="AR23" s="30" t="n">
        <v>1</v>
      </c>
      <c r="AS23" s="29" t="inlineStr">
        <is>
          <t>x</t>
        </is>
      </c>
      <c r="AT23" s="30" t="n">
        <v>6</v>
      </c>
      <c r="AU23" s="30" t="n">
        <v>12</v>
      </c>
      <c r="AV23" s="29" t="inlineStr">
        <is>
          <t>SYP#2</t>
        </is>
      </c>
      <c r="AW23" s="24">
        <f>AQ23*AU23</f>
        <v/>
      </c>
      <c r="AX23" s="84">
        <f>(AQ23*AR23*AT23*AU23)/12</f>
        <v/>
      </c>
      <c r="AY23" s="62" t="n">
        <v>1025</v>
      </c>
      <c r="AZ23" s="7">
        <f>(AX23*AY23)/1000</f>
        <v/>
      </c>
      <c r="BA23" s="83">
        <f>AZ23*1.07</f>
        <v/>
      </c>
      <c r="BB23" s="24" t="n">
        <v>68981078</v>
      </c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>
        <v>242</v>
      </c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n"/>
      <c r="DR23" s="24" t="n"/>
      <c r="DS23" s="24" t="n"/>
      <c r="DT23" s="24" t="n"/>
      <c r="DU23" s="24" t="n"/>
      <c r="DV23" s="24">
        <f>SUM(BC23:DU23)</f>
        <v/>
      </c>
      <c r="DW23" s="24">
        <f>DV23*AU23</f>
        <v/>
      </c>
      <c r="DX23" s="24">
        <f>DV23*AR23*AT23*AU23/12</f>
        <v/>
      </c>
      <c r="DY23" s="7">
        <f>DX23*AY23/1000</f>
        <v/>
      </c>
      <c r="DZ23" s="23">
        <f>DY23*1.07</f>
        <v/>
      </c>
      <c r="EA23" s="22">
        <f>IFERROR(DY23/AZ23,0)</f>
        <v/>
      </c>
      <c r="EB23" s="24" t="n"/>
      <c r="EC23" s="24" t="n"/>
      <c r="ED23" s="24" t="n"/>
      <c r="EE23" s="24" t="n"/>
      <c r="EF23" s="24" t="n"/>
      <c r="EG23" s="24" t="n"/>
      <c r="EH23" s="24" t="n"/>
      <c r="EI23" s="24" t="n"/>
      <c r="EJ23" s="24" t="n"/>
      <c r="EK23" s="24" t="n"/>
      <c r="EL23" s="24" t="n"/>
      <c r="EM23" s="24" t="n"/>
    </row>
    <row r="24" ht="104.65" customFormat="1" customHeight="1" s="12">
      <c r="A24" s="85" t="inlineStr">
        <is>
          <t>Lumber</t>
        </is>
      </c>
      <c r="B24" s="30" t="n">
        <v>171112</v>
      </c>
      <c r="C24" s="30" t="n">
        <v>-816</v>
      </c>
      <c r="D24" s="30" t="n"/>
      <c r="E24" s="30" t="n"/>
      <c r="F24" s="30" t="n"/>
      <c r="G24" s="30" t="n"/>
      <c r="H24" s="30" t="n">
        <v>-14976</v>
      </c>
      <c r="I24" s="30" t="n"/>
      <c r="J24" s="30" t="n"/>
      <c r="K24" s="30" t="n">
        <v>21773</v>
      </c>
      <c r="L24" s="30" t="n"/>
      <c r="M24" s="30" t="n"/>
      <c r="N24" s="30" t="n"/>
      <c r="O24" s="30" t="n"/>
      <c r="P24" s="30" t="n"/>
      <c r="Q24" s="30" t="n">
        <v>22273</v>
      </c>
      <c r="R24" s="30" t="n"/>
      <c r="S24" s="30" t="n">
        <v>62142</v>
      </c>
      <c r="T24" s="30" t="n"/>
      <c r="U24" s="30" t="n">
        <v>34944</v>
      </c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24" t="n"/>
      <c r="AP24" s="24">
        <f>SUM(D24:AO24)</f>
        <v/>
      </c>
      <c r="AQ24" s="24">
        <f>SUM(B24:AO24)</f>
        <v/>
      </c>
      <c r="AR24" s="30" t="n">
        <v>2</v>
      </c>
      <c r="AS24" s="29" t="inlineStr">
        <is>
          <t>x</t>
        </is>
      </c>
      <c r="AT24" s="30" t="n">
        <v>4</v>
      </c>
      <c r="AU24" s="30" t="n">
        <v>1</v>
      </c>
      <c r="AV24" s="29" t="inlineStr">
        <is>
          <t>SYP#2</t>
        </is>
      </c>
      <c r="AW24" s="24">
        <f>AQ24*AU24</f>
        <v/>
      </c>
      <c r="AX24" s="84">
        <f>(AQ24*AR24*AT24*AU24)/12</f>
        <v/>
      </c>
      <c r="AY24" s="62" t="n">
        <v>635</v>
      </c>
      <c r="AZ24" s="7">
        <f>(AX24*AY24)/1000</f>
        <v/>
      </c>
      <c r="BA24" s="83">
        <f>AZ24*1.06</f>
        <v/>
      </c>
      <c r="BB24" s="53" t="inlineStr">
        <is>
          <t>68981029 68981112 68981116 68981117 68981069 68981120 68981143 68981144
68981061</t>
        </is>
      </c>
      <c r="BC24" s="24" t="n"/>
      <c r="BD24" s="24" t="n"/>
      <c r="BE24" s="24" t="n">
        <v>266055.78</v>
      </c>
      <c r="BF24" s="20" t="n"/>
      <c r="BG24" s="44">
        <f>BA24-BE24</f>
        <v/>
      </c>
      <c r="BH24" s="20" t="n"/>
      <c r="BI24" s="20" t="n"/>
      <c r="BJ24" s="24">
        <f>(1456-51)*16</f>
        <v/>
      </c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>
        <f>3536*12</f>
        <v/>
      </c>
      <c r="BW24" s="24" t="n"/>
      <c r="BX24" s="24">
        <f>2704*12</f>
        <v/>
      </c>
      <c r="BY24" s="24" t="n"/>
      <c r="BZ24" s="24" t="n"/>
      <c r="CA24" s="24" t="n"/>
      <c r="CB24" s="24" t="n"/>
      <c r="CC24" s="24" t="n"/>
      <c r="CD24" s="24" t="n"/>
      <c r="CE24" s="24" t="n"/>
      <c r="CF24" s="131">
        <f>2704*12</f>
        <v/>
      </c>
      <c r="CG24" s="24" t="n"/>
      <c r="CH24" s="131">
        <f>3120*12+3120*12</f>
        <v/>
      </c>
      <c r="CI24" s="24" t="n"/>
      <c r="CJ24" s="24" t="n"/>
      <c r="CK24" s="24" t="n"/>
      <c r="CL24" s="24" t="n"/>
      <c r="CM24" s="24" t="n"/>
      <c r="CN24" s="24">
        <f>2704*12</f>
        <v/>
      </c>
      <c r="CO24" s="24" t="n"/>
      <c r="CP24" s="24" t="n"/>
      <c r="CQ24" s="24" t="n"/>
      <c r="CR24" s="24" t="n"/>
      <c r="CS24" s="24" t="n"/>
      <c r="CT24" s="24" t="n"/>
      <c r="CU24" s="24" t="n"/>
      <c r="CV24" s="24">
        <f>2704*12</f>
        <v/>
      </c>
      <c r="CW24" s="24" t="n"/>
      <c r="CX24" s="24" t="n"/>
      <c r="CY24" s="24" t="n"/>
      <c r="CZ24" s="24" t="n"/>
      <c r="DA24" s="24" t="n"/>
      <c r="DB24" s="24" t="n"/>
      <c r="DC24" s="24" t="n"/>
      <c r="DD24" s="24">
        <f>2912*12</f>
        <v/>
      </c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n"/>
      <c r="DR24" s="24" t="n"/>
      <c r="DS24" s="24" t="n"/>
      <c r="DT24" s="24" t="n"/>
      <c r="DU24" s="24" t="n"/>
      <c r="DV24" s="24">
        <f>SUM(BC24:DS24)</f>
        <v/>
      </c>
      <c r="DW24" s="24">
        <f>DV24*AU24</f>
        <v/>
      </c>
      <c r="DX24" s="86">
        <f>DV24*AR24*AT24*AU24/12</f>
        <v/>
      </c>
      <c r="DY24" s="7">
        <f>DX24*AY24/1000</f>
        <v/>
      </c>
      <c r="DZ24" s="23">
        <f>DY24*1.07</f>
        <v/>
      </c>
      <c r="EA24" s="22">
        <f>IFERROR(DY24/AZ24,0)</f>
        <v/>
      </c>
      <c r="EB24" s="24" t="n"/>
      <c r="EC24" s="24" t="n"/>
      <c r="ED24" s="24" t="n"/>
      <c r="EE24" s="24">
        <f>IF(EB24&lt;&gt;"",EB24*ED24,0)</f>
        <v/>
      </c>
      <c r="EF24" s="24">
        <f>DV24-EE24</f>
        <v/>
      </c>
      <c r="EG24" s="24">
        <f>EF24*AU24</f>
        <v/>
      </c>
      <c r="EH24" s="24">
        <f>(EF24*AR24*AT24*AU24)/12</f>
        <v/>
      </c>
      <c r="EI24" s="24">
        <f>IFERROR(EH24/DV24,0)</f>
        <v/>
      </c>
      <c r="EJ24" s="24">
        <f>IFERROR(EH24*AY24/1000,0)</f>
        <v/>
      </c>
      <c r="EK24" s="24">
        <f>EJ24*1.07</f>
        <v/>
      </c>
      <c r="EL24" s="24" t="n"/>
      <c r="EM24" s="24" t="n"/>
    </row>
    <row r="25" ht="23.25" customFormat="1" customHeight="1" s="12">
      <c r="A25" s="85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>
        <v>32448</v>
      </c>
      <c r="AB25" s="30" t="n"/>
      <c r="AC25" s="30" t="n"/>
      <c r="AD25" s="30" t="n"/>
      <c r="AE25" s="30" t="n">
        <v>34944</v>
      </c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24" t="n"/>
      <c r="AP25" s="24">
        <f>SUM(D25:AO25)</f>
        <v/>
      </c>
      <c r="AQ25" s="24">
        <f>SUM(B25:AO25)</f>
        <v/>
      </c>
      <c r="AR25" s="30" t="n">
        <v>2</v>
      </c>
      <c r="AS25" s="29" t="inlineStr">
        <is>
          <t>x</t>
        </is>
      </c>
      <c r="AT25" s="30" t="n">
        <v>4</v>
      </c>
      <c r="AU25" s="30" t="n">
        <v>1</v>
      </c>
      <c r="AV25" s="29" t="inlineStr">
        <is>
          <t>SYP#2</t>
        </is>
      </c>
      <c r="AW25" s="24">
        <f>AQ25*AU25</f>
        <v/>
      </c>
      <c r="AX25" s="84">
        <f>(AQ25*AR25*AT25*AU25)/12</f>
        <v/>
      </c>
      <c r="AY25" s="62" t="n">
        <v>685</v>
      </c>
      <c r="AZ25" s="7">
        <f>(AX25*AY25)/1000</f>
        <v/>
      </c>
      <c r="BA25" s="83">
        <f>AZ25*1.07</f>
        <v/>
      </c>
      <c r="BB25" s="53" t="inlineStr">
        <is>
          <t>68981157 68981170</t>
        </is>
      </c>
      <c r="BC25" s="24" t="n"/>
      <c r="BD25" s="24" t="n"/>
      <c r="BE25" s="24" t="n"/>
      <c r="BF25" s="20" t="n"/>
      <c r="BG25" s="20" t="n"/>
      <c r="BH25" s="20" t="n"/>
      <c r="BI25" s="20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131" t="n"/>
      <c r="CG25" s="24" t="n"/>
      <c r="CH25" s="131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>
        <f>2600*12</f>
        <v/>
      </c>
      <c r="DJ25" s="24" t="n"/>
      <c r="DK25" s="24" t="n"/>
      <c r="DL25" s="24" t="n"/>
      <c r="DM25" s="24" t="n"/>
      <c r="DN25" s="24">
        <f>2704*12</f>
        <v/>
      </c>
      <c r="DO25" s="24" t="n"/>
      <c r="DP25" s="24" t="n"/>
      <c r="DQ25" s="24" t="n"/>
      <c r="DR25" s="24" t="n"/>
      <c r="DS25" s="24" t="n"/>
      <c r="DT25" s="24" t="n"/>
      <c r="DU25" s="24" t="n"/>
      <c r="DV25" s="24">
        <f>SUM(BC25:DU25)</f>
        <v/>
      </c>
      <c r="DW25" s="24">
        <f>DV25*AU25</f>
        <v/>
      </c>
      <c r="DX25" s="86">
        <f>DV25*AR25*AT25*AU25/12</f>
        <v/>
      </c>
      <c r="DY25" s="7">
        <f>DX25*AY25/1000</f>
        <v/>
      </c>
      <c r="DZ25" s="7">
        <f>DY25*1.06</f>
        <v/>
      </c>
      <c r="EA25" s="22">
        <f>IFERROR(DY25/AZ25,0)</f>
        <v/>
      </c>
      <c r="EB25" s="24" t="n"/>
      <c r="EC25" s="24" t="n"/>
      <c r="ED25" s="24" t="n"/>
      <c r="EE25" s="24" t="n"/>
      <c r="EF25" s="24" t="n"/>
      <c r="EG25" s="24" t="n"/>
      <c r="EH25" s="24" t="n"/>
      <c r="EI25" s="24" t="n"/>
      <c r="EJ25" s="24" t="n"/>
      <c r="EK25" s="24" t="n"/>
      <c r="EL25" s="24" t="n"/>
      <c r="EM25" s="24" t="n"/>
    </row>
    <row r="26" ht="23.25" customFormat="1" customHeight="1" s="12">
      <c r="A26" s="85" t="n"/>
      <c r="B26" s="30" t="n"/>
      <c r="C26" s="30" t="n"/>
      <c r="D26" s="30" t="n"/>
      <c r="E26" s="30" t="n"/>
      <c r="F26" s="30" t="n"/>
      <c r="G26" s="30" t="n"/>
      <c r="H26" s="30" t="n">
        <v>1248</v>
      </c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>
        <v>624</v>
      </c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24" t="n"/>
      <c r="AP26" s="24">
        <f>SUM(D26:AO26)</f>
        <v/>
      </c>
      <c r="AQ26" s="24">
        <f>SUM(B26:AO26)</f>
        <v/>
      </c>
      <c r="AR26" s="30" t="n">
        <v>2</v>
      </c>
      <c r="AS26" s="29" t="inlineStr">
        <is>
          <t>x</t>
        </is>
      </c>
      <c r="AT26" s="30" t="n">
        <v>4</v>
      </c>
      <c r="AU26" s="30" t="n">
        <v>12</v>
      </c>
      <c r="AV26" s="29" t="inlineStr">
        <is>
          <t>SYP#2 RED SAFETY RAIL</t>
        </is>
      </c>
      <c r="AW26" s="24">
        <f>AQ26*AU26</f>
        <v/>
      </c>
      <c r="AX26" s="84">
        <f>(AQ26*AR26*AT26*AU26)/12</f>
        <v/>
      </c>
      <c r="AY26" s="62" t="n">
        <v>935</v>
      </c>
      <c r="AZ26" s="7">
        <f>(AX26*AY26)/1000</f>
        <v/>
      </c>
      <c r="BA26" s="83">
        <f>AZ26*1.06</f>
        <v/>
      </c>
      <c r="BB26" s="53" t="inlineStr">
        <is>
          <t>68981030 68981113</t>
        </is>
      </c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>
        <v>1248</v>
      </c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131">
        <f>624</f>
        <v/>
      </c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  <c r="DQ26" s="24" t="n"/>
      <c r="DR26" s="24" t="n"/>
      <c r="DS26" s="24" t="n"/>
      <c r="DT26" s="24" t="n"/>
      <c r="DU26" s="24" t="n"/>
      <c r="DV26" s="24">
        <f>SUM(BC26:DU26)</f>
        <v/>
      </c>
      <c r="DW26" s="24">
        <f>DV26*AU26</f>
        <v/>
      </c>
      <c r="DX26" s="24">
        <f>DV26*AR26*AT26*AU26/12</f>
        <v/>
      </c>
      <c r="DY26" s="7">
        <f>DX26*AY26/1000</f>
        <v/>
      </c>
      <c r="DZ26" s="23">
        <f>DY26*1.06</f>
        <v/>
      </c>
      <c r="EA26" s="22">
        <f>IFERROR(DY26/AZ26,0)</f>
        <v/>
      </c>
      <c r="EB26" s="24" t="n"/>
      <c r="EC26" s="24" t="n"/>
      <c r="ED26" s="24" t="n"/>
      <c r="EE26" s="24" t="n"/>
      <c r="EF26" s="24" t="n"/>
      <c r="EG26" s="24" t="n"/>
      <c r="EH26" s="24" t="n"/>
      <c r="EI26" s="24" t="n"/>
      <c r="EJ26" s="24" t="n"/>
      <c r="EK26" s="24" t="n"/>
      <c r="EL26" s="24" t="n"/>
      <c r="EM26" s="24" t="n"/>
    </row>
    <row r="27" ht="23.25" customFormat="1" customHeight="1" s="12">
      <c r="A27" s="85" t="inlineStr">
        <is>
          <t>Lumber</t>
        </is>
      </c>
      <c r="B27" s="30" t="n">
        <v>1297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24" t="n"/>
      <c r="AP27" s="24">
        <f>SUM(D27:AO27)</f>
        <v/>
      </c>
      <c r="AQ27" s="24">
        <f>SUM(B27:AO27)</f>
        <v/>
      </c>
      <c r="AR27" s="30" t="n">
        <v>2</v>
      </c>
      <c r="AS27" s="29" t="inlineStr">
        <is>
          <t>x</t>
        </is>
      </c>
      <c r="AT27" s="30" t="n">
        <v>4</v>
      </c>
      <c r="AU27" s="30" t="n">
        <v>12</v>
      </c>
      <c r="AV27" s="29" t="inlineStr">
        <is>
          <t>SYP#2</t>
        </is>
      </c>
      <c r="AW27" s="24">
        <f>AQ27*AU27</f>
        <v/>
      </c>
      <c r="AX27" s="84">
        <f>(AQ27*AR27*AT27*AU27)/12</f>
        <v/>
      </c>
      <c r="AY27" s="62" t="n">
        <v>635</v>
      </c>
      <c r="AZ27" s="7">
        <f>(AX27*AY27)/1000</f>
        <v/>
      </c>
      <c r="BA27" s="83">
        <f>AZ27*1.06</f>
        <v/>
      </c>
      <c r="BB27" s="53" t="inlineStr">
        <is>
          <t>68981034 68981037</t>
        </is>
      </c>
      <c r="BC27" s="53" t="n"/>
      <c r="BD27" s="53" t="n"/>
      <c r="BE27" s="53" t="n"/>
      <c r="BF27" s="24" t="n"/>
      <c r="BG27" s="24" t="n"/>
      <c r="BH27" s="24" t="n"/>
      <c r="BI27" s="24" t="n"/>
      <c r="BJ27" s="24" t="n"/>
      <c r="BK27" s="24" t="n"/>
      <c r="BL27" s="24" t="n"/>
      <c r="BM27" s="24">
        <f>3536</f>
        <v/>
      </c>
      <c r="BN27" s="24" t="n"/>
      <c r="BO27" s="24" t="n"/>
      <c r="BP27" s="24" t="n"/>
      <c r="BQ27" s="138" t="n">
        <v>5408</v>
      </c>
      <c r="BR27" s="138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  <c r="DQ27" s="24" t="n"/>
      <c r="DR27" s="24" t="n"/>
      <c r="DS27" s="24" t="n"/>
      <c r="DT27" s="24" t="n"/>
      <c r="DU27" s="24" t="n"/>
      <c r="DV27" s="24">
        <f>SUM(BC27:DS27)</f>
        <v/>
      </c>
      <c r="DW27" s="24">
        <f>DV27*AU27</f>
        <v/>
      </c>
      <c r="DX27" s="24">
        <f>DV27*AR27*AT27*AU27/12</f>
        <v/>
      </c>
      <c r="DY27" s="7">
        <f>DX27*AY27/1000</f>
        <v/>
      </c>
      <c r="DZ27" s="23">
        <f>DY27*1.07</f>
        <v/>
      </c>
      <c r="EA27" s="22">
        <f>IFERROR(DY27/AZ27,0)</f>
        <v/>
      </c>
      <c r="EB27" s="24" t="n"/>
      <c r="EC27" s="24" t="n"/>
      <c r="ED27" s="24" t="n"/>
      <c r="EE27" s="24">
        <f>IF(EB27&lt;&gt;"",EB27*ED27,0)</f>
        <v/>
      </c>
      <c r="EF27" s="24">
        <f>DV27-EE27</f>
        <v/>
      </c>
      <c r="EG27" s="24">
        <f>EF27*AU27</f>
        <v/>
      </c>
      <c r="EH27" s="24">
        <f>(EF27*AR27*AT27*AU27)/12</f>
        <v/>
      </c>
      <c r="EI27" s="24">
        <f>IFERROR(EH27/DV27,0)</f>
        <v/>
      </c>
      <c r="EJ27" s="24">
        <f>IFERROR(EH27*AY27/1000,0)</f>
        <v/>
      </c>
      <c r="EK27" s="24">
        <f>EJ27*1.07</f>
        <v/>
      </c>
      <c r="EL27" s="24" t="n"/>
      <c r="EM27" s="24" t="n"/>
    </row>
    <row r="28" ht="151.15" customFormat="1" customHeight="1" s="12">
      <c r="A28" s="85" t="inlineStr">
        <is>
          <t>Lumber</t>
        </is>
      </c>
      <c r="B28" s="30" t="n">
        <v>217875</v>
      </c>
      <c r="C28" s="30" t="n">
        <v>-2877</v>
      </c>
      <c r="D28" s="30" t="n"/>
      <c r="E28" s="30" t="n"/>
      <c r="F28" s="30" t="n"/>
      <c r="G28" s="30" t="n"/>
      <c r="H28" s="30" t="n"/>
      <c r="I28" s="30" t="n"/>
      <c r="J28" s="30" t="n"/>
      <c r="K28" s="30" t="n">
        <v>-17100</v>
      </c>
      <c r="L28" s="30" t="n"/>
      <c r="M28" s="30" t="n"/>
      <c r="N28" s="30" t="n"/>
      <c r="O28" s="30" t="n"/>
      <c r="P28" s="30" t="n"/>
      <c r="Q28" s="30" t="n">
        <v>-22273</v>
      </c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>
        <v>26702</v>
      </c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24" t="n"/>
      <c r="AP28" s="24">
        <f>SUM(D28:AO28)</f>
        <v/>
      </c>
      <c r="AQ28" s="24">
        <f>SUM(B28:AO28)</f>
        <v/>
      </c>
      <c r="AR28" s="30" t="n">
        <v>2</v>
      </c>
      <c r="AS28" s="29" t="inlineStr">
        <is>
          <t>x</t>
        </is>
      </c>
      <c r="AT28" s="30" t="n">
        <v>6</v>
      </c>
      <c r="AU28" s="30" t="n">
        <v>1</v>
      </c>
      <c r="AV28" s="29" t="inlineStr">
        <is>
          <t>SYP#2</t>
        </is>
      </c>
      <c r="AW28" s="24">
        <f>AQ28*AU28</f>
        <v/>
      </c>
      <c r="AX28" s="84">
        <f>(AQ28*AR28*AT28*AU28)/12</f>
        <v/>
      </c>
      <c r="AY28" s="62" t="n">
        <v>635</v>
      </c>
      <c r="AZ28" s="7">
        <f>(AX28*AY28)/1000</f>
        <v/>
      </c>
      <c r="BA28" s="83">
        <f>AZ28*1.06</f>
        <v/>
      </c>
      <c r="BB28" s="53" t="inlineStr">
        <is>
          <t xml:space="preserve"> 68981024 68981140 68981141 68981163
68981062
68981070
68981081
68981107
68981028
68981036
68981039
68981051
68981071</t>
        </is>
      </c>
      <c r="BC28" s="53" t="n"/>
      <c r="BD28" s="53" t="n"/>
      <c r="BE28" s="53" t="n"/>
      <c r="BF28" s="24" t="n"/>
      <c r="BG28" s="24" t="n"/>
      <c r="BH28" s="24" t="n"/>
      <c r="BI28" s="24">
        <f>(1664-77)*12+(1152-240)*12</f>
        <v/>
      </c>
      <c r="BJ28" s="24" t="n"/>
      <c r="BK28" s="24" t="n"/>
      <c r="BL28" s="24" t="n"/>
      <c r="BM28" s="24">
        <f>1664*14</f>
        <v/>
      </c>
      <c r="BN28" s="24" t="n"/>
      <c r="BO28" s="24">
        <f>1792*12</f>
        <v/>
      </c>
      <c r="BP28" s="24">
        <f>136*16+120*16</f>
        <v/>
      </c>
      <c r="BQ28" s="24" t="n"/>
      <c r="BR28" s="24" t="n"/>
      <c r="BS28" s="24" t="n"/>
      <c r="BT28" s="24" t="n"/>
      <c r="BU28" s="24" t="n"/>
      <c r="BV28" s="24" t="n"/>
      <c r="BW28" s="24" t="n"/>
      <c r="BX28" s="24">
        <f>1664*12+1664*12</f>
        <v/>
      </c>
      <c r="BY28" s="24" t="n"/>
      <c r="BZ28" s="24" t="n"/>
      <c r="CA28" s="24" t="n"/>
      <c r="CB28" s="24" t="n"/>
      <c r="CC28" s="24" t="n"/>
      <c r="CD28" s="24" t="n"/>
      <c r="CE28" s="131">
        <f>1664*12+1362*12</f>
        <v/>
      </c>
      <c r="CF28" s="131">
        <f>1664*12</f>
        <v/>
      </c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>
        <f>1792*12</f>
        <v/>
      </c>
      <c r="CR28" s="24" t="n"/>
      <c r="CS28" s="24">
        <f>1792*12</f>
        <v/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>
        <f>1792*12</f>
        <v/>
      </c>
      <c r="DD28" s="24" t="n"/>
      <c r="DE28" s="24" t="n"/>
      <c r="DF28" s="24" t="n"/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  <c r="DQ28" s="24" t="n"/>
      <c r="DR28" s="24" t="n"/>
      <c r="DS28" s="24" t="n"/>
      <c r="DT28" s="24" t="n"/>
      <c r="DU28" s="24" t="n"/>
      <c r="DV28" s="24">
        <f>SUM(BC28:DS28)</f>
        <v/>
      </c>
      <c r="DW28" s="24">
        <f>DV28*AU28</f>
        <v/>
      </c>
      <c r="DX28" s="24">
        <f>DV28*AR28*AT28*AU28/12</f>
        <v/>
      </c>
      <c r="DY28" s="7">
        <f>DX28*AY28/1000</f>
        <v/>
      </c>
      <c r="DZ28" s="23">
        <f>DY28*1.07</f>
        <v/>
      </c>
      <c r="EA28" s="22">
        <f>IFERROR(DY28/AZ28,0)</f>
        <v/>
      </c>
      <c r="EB28" s="24" t="n"/>
      <c r="EC28" s="24" t="n"/>
      <c r="ED28" s="24" t="n"/>
      <c r="EE28" s="24">
        <f>IF(EB28&lt;&gt;"",EB28*ED28,0)</f>
        <v/>
      </c>
      <c r="EF28" s="24">
        <f>DV28-EE28</f>
        <v/>
      </c>
      <c r="EG28" s="24">
        <f>EF28*AU28</f>
        <v/>
      </c>
      <c r="EH28" s="24">
        <f>(EF28*AR28*AT28*AU28)/12</f>
        <v/>
      </c>
      <c r="EI28" s="24">
        <f>IFERROR(EH28/DV28,0)</f>
        <v/>
      </c>
      <c r="EJ28" s="24">
        <f>IFERROR(EH28*AY28/1000,0)</f>
        <v/>
      </c>
      <c r="EK28" s="24">
        <f>EJ28*1.07</f>
        <v/>
      </c>
      <c r="EL28" s="24" t="n"/>
      <c r="EM28" s="24" t="n"/>
    </row>
    <row r="29" ht="11.65" customFormat="1" customHeight="1" s="12">
      <c r="A29" s="85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>
        <v>2040</v>
      </c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24" t="n"/>
      <c r="AP29" s="24">
        <f>SUM(D29:AO29)</f>
        <v/>
      </c>
      <c r="AQ29" s="24">
        <f>SUM(B29:AO29)</f>
        <v/>
      </c>
      <c r="AR29" s="30" t="n">
        <v>2</v>
      </c>
      <c r="AS29" s="29" t="inlineStr">
        <is>
          <t>x</t>
        </is>
      </c>
      <c r="AT29" s="30" t="n">
        <v>6</v>
      </c>
      <c r="AU29" s="30" t="n">
        <v>8</v>
      </c>
      <c r="AV29" s="29" t="inlineStr">
        <is>
          <t>SYP#2</t>
        </is>
      </c>
      <c r="AW29" s="24">
        <f>AQ29*AU29</f>
        <v/>
      </c>
      <c r="AX29" s="84">
        <f>(AQ29*AR29*AT29*AU29)/12</f>
        <v/>
      </c>
      <c r="AY29" s="62" t="n">
        <v>635</v>
      </c>
      <c r="AZ29" s="7">
        <f>(AX29*AY29)/1000</f>
        <v/>
      </c>
      <c r="BA29" s="83">
        <f>AZ29*1.06</f>
        <v/>
      </c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  <c r="DQ29" s="24" t="n"/>
      <c r="DR29" s="24" t="n"/>
      <c r="DS29" s="24" t="n"/>
      <c r="DT29" s="24" t="n"/>
      <c r="DU29" s="24" t="n"/>
      <c r="DV29" s="24">
        <f>SUM(BC29:DU29)</f>
        <v/>
      </c>
      <c r="DW29" s="24">
        <f>DV29*AU29</f>
        <v/>
      </c>
      <c r="DX29" s="24">
        <f>DV29*AR29*AT29*AU29/12</f>
        <v/>
      </c>
      <c r="DY29" s="14">
        <f>DX29*AY29/1000</f>
        <v/>
      </c>
      <c r="DZ29" s="60">
        <f>DY29*1.06</f>
        <v/>
      </c>
      <c r="EA29" s="22">
        <f>IFERROR(DY29/AZ29,0)</f>
        <v/>
      </c>
      <c r="EB29" s="24" t="n"/>
      <c r="EC29" s="24" t="n"/>
      <c r="ED29" s="24" t="n"/>
      <c r="EE29" s="24" t="n"/>
      <c r="EF29" s="24" t="n"/>
      <c r="EG29" s="24" t="n"/>
      <c r="EH29" s="24" t="n"/>
      <c r="EI29" s="24" t="n"/>
      <c r="EJ29" s="24" t="n"/>
      <c r="EK29" s="24" t="n"/>
      <c r="EL29" s="24" t="n"/>
      <c r="EM29" s="24" t="n"/>
    </row>
    <row r="30" ht="11.65" customFormat="1" customHeight="1" s="12">
      <c r="A30" s="85" t="inlineStr">
        <is>
          <t>Lumber</t>
        </is>
      </c>
      <c r="B30" s="30" t="n">
        <v>456</v>
      </c>
      <c r="C30" s="30" t="n">
        <v>-77</v>
      </c>
      <c r="D30" s="30" t="n"/>
      <c r="E30" s="30" t="n"/>
      <c r="F30" s="30" t="n"/>
      <c r="G30" s="30" t="n"/>
      <c r="H30" s="30" t="n"/>
      <c r="I30" s="30" t="n"/>
      <c r="J30" s="30" t="n"/>
      <c r="K30" s="30" t="n">
        <v>302</v>
      </c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24" t="n"/>
      <c r="AP30" s="24">
        <f>SUM(D30:AO30)</f>
        <v/>
      </c>
      <c r="AQ30" s="24">
        <f>SUM(B30:AO30)</f>
        <v/>
      </c>
      <c r="AR30" s="30" t="n">
        <v>2</v>
      </c>
      <c r="AS30" s="29" t="inlineStr">
        <is>
          <t>x</t>
        </is>
      </c>
      <c r="AT30" s="30" t="n">
        <v>6</v>
      </c>
      <c r="AU30" s="30" t="n">
        <v>12</v>
      </c>
      <c r="AV30" s="29" t="inlineStr">
        <is>
          <t>SYP#2</t>
        </is>
      </c>
      <c r="AW30" s="24">
        <f>AQ30*AU30</f>
        <v/>
      </c>
      <c r="AX30" s="84">
        <f>(AQ30*AR30*AT30*AU30)/12</f>
        <v/>
      </c>
      <c r="AY30" s="62" t="n">
        <v>635</v>
      </c>
      <c r="AZ30" s="7">
        <f>(AX30*AY30)/1000</f>
        <v/>
      </c>
      <c r="BA30" s="83">
        <f>AZ30*1.06</f>
        <v/>
      </c>
      <c r="BB30" s="24" t="inlineStr">
        <is>
          <t>68981081
68981024</t>
        </is>
      </c>
      <c r="BC30" s="24" t="n"/>
      <c r="BD30" s="24" t="n"/>
      <c r="BE30" s="24" t="n"/>
      <c r="BF30" s="24" t="n"/>
      <c r="BG30" s="24" t="n"/>
      <c r="BH30" s="24" t="n"/>
      <c r="BI30" s="24" t="n">
        <v>77</v>
      </c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131">
        <f>302</f>
        <v/>
      </c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  <c r="DQ30" s="24" t="n"/>
      <c r="DR30" s="24" t="n"/>
      <c r="DS30" s="24" t="n"/>
      <c r="DT30" s="24" t="n"/>
      <c r="DU30" s="24" t="n"/>
      <c r="DV30" s="24">
        <f>SUM(BC30:DS30)</f>
        <v/>
      </c>
      <c r="DW30" s="24">
        <f>DV30*AU30</f>
        <v/>
      </c>
      <c r="DX30" s="74">
        <f>DV30*AR30*AT30*AU30/12</f>
        <v/>
      </c>
      <c r="DY30" s="7">
        <f>DX30*AY30/1000</f>
        <v/>
      </c>
      <c r="DZ30" s="23">
        <f>DY30*1.07</f>
        <v/>
      </c>
      <c r="EA30" s="137">
        <f>IFERROR(DY30/AZ30,0)</f>
        <v/>
      </c>
      <c r="EB30" s="24" t="n"/>
      <c r="EC30" s="24" t="n"/>
      <c r="ED30" s="24" t="n"/>
      <c r="EE30" s="24">
        <f>IF(EB30&lt;&gt;"",EB30*ED30,0)</f>
        <v/>
      </c>
      <c r="EF30" s="24">
        <f>DV30-EE30</f>
        <v/>
      </c>
      <c r="EG30" s="24">
        <f>EF30*AU30</f>
        <v/>
      </c>
      <c r="EH30" s="24">
        <f>(EF30*AR30*AT30*AU30)/12</f>
        <v/>
      </c>
      <c r="EI30" s="24">
        <f>IFERROR(EH30/DV30,0)</f>
        <v/>
      </c>
      <c r="EJ30" s="24">
        <f>IFERROR(EH30*AY30/1000,0)</f>
        <v/>
      </c>
      <c r="EK30" s="24">
        <f>EJ30*1.07</f>
        <v/>
      </c>
      <c r="EL30" s="24" t="n"/>
      <c r="EM30" s="24" t="n"/>
    </row>
    <row r="31" ht="11.65" customFormat="1" customHeight="1" s="12">
      <c r="A31" s="85" t="n"/>
      <c r="B31" s="30" t="n"/>
      <c r="C31" s="30" t="n"/>
      <c r="D31" s="30" t="n">
        <v>41</v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24" t="n"/>
      <c r="AP31" s="24">
        <f>SUM(D31:AO31)</f>
        <v/>
      </c>
      <c r="AQ31" s="24">
        <f>SUM(B31:AO31)</f>
        <v/>
      </c>
      <c r="AR31" s="30" t="n">
        <v>2</v>
      </c>
      <c r="AS31" s="29" t="inlineStr">
        <is>
          <t>x</t>
        </is>
      </c>
      <c r="AT31" s="30" t="n">
        <v>6</v>
      </c>
      <c r="AU31" s="30" t="n">
        <v>12</v>
      </c>
      <c r="AV31" s="29" t="inlineStr">
        <is>
          <t>SYP#2</t>
        </is>
      </c>
      <c r="AW31" s="24">
        <f>AQ31*AU31</f>
        <v/>
      </c>
      <c r="AX31" s="84">
        <f>(AQ31*AR31*AT31*AU31)/12</f>
        <v/>
      </c>
      <c r="AY31" s="62" t="n">
        <v>612.5</v>
      </c>
      <c r="AZ31" s="7">
        <f>(AX31*AY31)/1000</f>
        <v/>
      </c>
      <c r="BA31" s="83">
        <f>AZ31*1.06</f>
        <v/>
      </c>
      <c r="BB31" s="24" t="n">
        <v>68981005</v>
      </c>
      <c r="BC31" s="24" t="n">
        <v>41</v>
      </c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  <c r="DQ31" s="24" t="n"/>
      <c r="DR31" s="24" t="n"/>
      <c r="DS31" s="24" t="n"/>
      <c r="DT31" s="24" t="n"/>
      <c r="DU31" s="24" t="n"/>
      <c r="DV31" s="24">
        <f>SUM(BC31:DU31)</f>
        <v/>
      </c>
      <c r="DW31" s="24">
        <f>DV31*AU31</f>
        <v/>
      </c>
      <c r="DX31" s="74">
        <f>DV31*AR31*AT31*AU31/12</f>
        <v/>
      </c>
      <c r="DY31" s="7">
        <f>DX31*AY31/1000</f>
        <v/>
      </c>
      <c r="DZ31" s="23">
        <f>DY31*1.06</f>
        <v/>
      </c>
      <c r="EA31" s="137">
        <f>IFERROR(DY31/AZ31,0)</f>
        <v/>
      </c>
      <c r="EB31" s="24" t="n"/>
      <c r="EC31" s="24" t="n"/>
      <c r="ED31" s="24" t="n"/>
      <c r="EE31" s="24" t="n"/>
      <c r="EF31" s="24" t="n"/>
      <c r="EG31" s="24" t="n"/>
      <c r="EH31" s="24" t="n"/>
      <c r="EI31" s="24" t="n"/>
      <c r="EJ31" s="24" t="n"/>
      <c r="EK31" s="24" t="n"/>
      <c r="EL31" s="24" t="n"/>
      <c r="EM31" s="24" t="n"/>
    </row>
    <row r="32" ht="11.65" customFormat="1" customHeight="1" s="12">
      <c r="A32" s="85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>
        <v>120</v>
      </c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24" t="n"/>
      <c r="AP32" s="24">
        <f>SUM(D32:AO32)</f>
        <v/>
      </c>
      <c r="AQ32" s="24">
        <f>SUM(B32:AO32)</f>
        <v/>
      </c>
      <c r="AR32" s="30" t="n">
        <v>2</v>
      </c>
      <c r="AS32" s="29" t="inlineStr">
        <is>
          <t>x</t>
        </is>
      </c>
      <c r="AT32" s="30" t="n">
        <v>6</v>
      </c>
      <c r="AU32" s="30" t="n">
        <v>16</v>
      </c>
      <c r="AV32" s="29" t="inlineStr">
        <is>
          <t>SYP#2</t>
        </is>
      </c>
      <c r="AW32" s="24">
        <f>AQ32*AU32</f>
        <v/>
      </c>
      <c r="AX32" s="84">
        <f>(AQ32*AR32*AT32*AU32)/12</f>
        <v/>
      </c>
      <c r="AY32" s="62" t="n">
        <v>635</v>
      </c>
      <c r="AZ32" s="7">
        <f>(AX32*AY32)/1000</f>
        <v/>
      </c>
      <c r="BA32" s="83">
        <f>AZ32*1.06</f>
        <v/>
      </c>
      <c r="BB32" s="24" t="n">
        <v>68981029</v>
      </c>
      <c r="BC32" s="24" t="n"/>
      <c r="BD32" s="24" t="n"/>
      <c r="BE32" s="24" t="n"/>
      <c r="BF32" s="24" t="n"/>
      <c r="BG32" s="24" t="n"/>
      <c r="BH32" s="24" t="n"/>
      <c r="BI32" s="24" t="n"/>
      <c r="BJ32" s="24" t="n">
        <v>256</v>
      </c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  <c r="DQ32" s="24" t="n"/>
      <c r="DR32" s="24" t="n"/>
      <c r="DS32" s="24" t="n"/>
      <c r="DT32" s="24" t="n"/>
      <c r="DU32" s="24" t="n"/>
      <c r="DV32" s="24">
        <f>SUM(BC32:DU32)</f>
        <v/>
      </c>
      <c r="DW32" s="24">
        <f>DV32*AU32</f>
        <v/>
      </c>
      <c r="DX32" s="74">
        <f>DV32*AR32*AT32*AU32/12</f>
        <v/>
      </c>
      <c r="DY32" s="7">
        <f>DX32*AY32/1000</f>
        <v/>
      </c>
      <c r="DZ32" s="23">
        <f>DY32*1.06</f>
        <v/>
      </c>
      <c r="EA32" s="137">
        <f>IFERROR(DY32/AZ32,0)</f>
        <v/>
      </c>
      <c r="EB32" s="24" t="n"/>
      <c r="EC32" s="24" t="n"/>
      <c r="ED32" s="24" t="n"/>
      <c r="EE32" s="24" t="n"/>
      <c r="EF32" s="24" t="n"/>
      <c r="EG32" s="24" t="n"/>
      <c r="EH32" s="24" t="n"/>
      <c r="EI32" s="24" t="n"/>
      <c r="EJ32" s="24" t="n"/>
      <c r="EK32" s="24" t="n"/>
      <c r="EL32" s="24" t="n"/>
      <c r="EM32" s="24" t="n"/>
    </row>
    <row r="33" ht="23.25" customFormat="1" customHeight="1" s="12">
      <c r="A33" s="85" t="inlineStr">
        <is>
          <t>Lumber</t>
        </is>
      </c>
      <c r="B33" s="30">
        <f>1366+633*12</f>
        <v/>
      </c>
      <c r="C33" s="30" t="n">
        <v>-158</v>
      </c>
      <c r="D33" s="30" t="n"/>
      <c r="E33" s="30" t="n"/>
      <c r="F33" s="30" t="n"/>
      <c r="G33" s="30" t="n"/>
      <c r="H33" s="30" t="n"/>
      <c r="I33" s="30" t="n"/>
      <c r="J33" s="30" t="n"/>
      <c r="K33" s="30" t="n">
        <v>-6603</v>
      </c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24" t="n"/>
      <c r="AP33" s="24">
        <f>SUM(D33:AO33)</f>
        <v/>
      </c>
      <c r="AQ33" s="24">
        <f>SUM(B33:AO33)</f>
        <v/>
      </c>
      <c r="AR33" s="30" t="n">
        <v>2</v>
      </c>
      <c r="AS33" s="29" t="inlineStr">
        <is>
          <t>x</t>
        </is>
      </c>
      <c r="AT33" s="30" t="n">
        <v>8</v>
      </c>
      <c r="AU33" s="30" t="n">
        <v>1</v>
      </c>
      <c r="AV33" s="29" t="inlineStr">
        <is>
          <t>SYP#2</t>
        </is>
      </c>
      <c r="AW33" s="24">
        <f>AQ33*AU33</f>
        <v/>
      </c>
      <c r="AX33" s="136">
        <f>(AQ33*AR33*AT33*AU33)/12</f>
        <v/>
      </c>
      <c r="AY33" s="62" t="n">
        <v>655</v>
      </c>
      <c r="AZ33" s="7">
        <f>(AX33*AY33)/1000</f>
        <v/>
      </c>
      <c r="BA33" s="83">
        <f>AZ33*1.06</f>
        <v/>
      </c>
      <c r="BB33" s="53" t="inlineStr">
        <is>
          <t>68981017
68981042</t>
        </is>
      </c>
      <c r="BC33" s="24" t="n"/>
      <c r="BD33" s="24" t="n"/>
      <c r="BE33" s="24" t="n"/>
      <c r="BF33" s="24" t="n"/>
      <c r="BG33" s="24" t="n"/>
      <c r="BH33" s="24">
        <f>96*12</f>
        <v/>
      </c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>
        <f>57*12</f>
        <v/>
      </c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n"/>
      <c r="DK33" s="24" t="n"/>
      <c r="DL33" s="24" t="n"/>
      <c r="DM33" s="24" t="n"/>
      <c r="DN33" s="24" t="n"/>
      <c r="DO33" s="24" t="n"/>
      <c r="DP33" s="24" t="n"/>
      <c r="DQ33" s="24" t="n"/>
      <c r="DR33" s="24" t="n"/>
      <c r="DS33" s="24" t="n"/>
      <c r="DT33" s="24" t="n"/>
      <c r="DU33" s="24" t="n"/>
      <c r="DV33" s="24">
        <f>SUM(BC33:DS33)</f>
        <v/>
      </c>
      <c r="DW33" s="24">
        <f>DV33*AU33</f>
        <v/>
      </c>
      <c r="DX33" s="24">
        <f>DV33*AR33*AT33*AU33/12</f>
        <v/>
      </c>
      <c r="DY33" s="68">
        <f>DX33*AY33/1000</f>
        <v/>
      </c>
      <c r="DZ33" s="67">
        <f>DY33*1.07</f>
        <v/>
      </c>
      <c r="EA33" s="22">
        <f>IFERROR(DY33/AZ33,0)</f>
        <v/>
      </c>
      <c r="EB33" s="24" t="n"/>
      <c r="EC33" s="24" t="n"/>
      <c r="ED33" s="24" t="n"/>
      <c r="EE33" s="24">
        <f>IF(EB33&lt;&gt;"",EB33*ED33,0)</f>
        <v/>
      </c>
      <c r="EF33" s="24">
        <f>DV33-EE33</f>
        <v/>
      </c>
      <c r="EG33" s="24">
        <f>EF33*AU33</f>
        <v/>
      </c>
      <c r="EH33" s="24">
        <f>(EF33*AR33*AT33*AU33)/12</f>
        <v/>
      </c>
      <c r="EI33" s="24">
        <f>IFERROR(EH33/DV33,0)</f>
        <v/>
      </c>
      <c r="EJ33" s="24">
        <f>IFERROR(EH33*AY33/1000,0)</f>
        <v/>
      </c>
      <c r="EK33" s="24">
        <f>EJ33*1.07</f>
        <v/>
      </c>
      <c r="EL33" s="24" t="n"/>
      <c r="EM33" s="24" t="n"/>
    </row>
    <row r="34" ht="11.65" customFormat="1" customHeight="1" s="12">
      <c r="A34" s="85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>
        <v>120</v>
      </c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24" t="n"/>
      <c r="AP34" s="24">
        <f>SUM(D34:AO34)</f>
        <v/>
      </c>
      <c r="AQ34" s="24">
        <f>SUM(B34:AO34)</f>
        <v/>
      </c>
      <c r="AR34" s="30" t="n">
        <v>2</v>
      </c>
      <c r="AS34" s="29" t="inlineStr">
        <is>
          <t>x</t>
        </is>
      </c>
      <c r="AT34" s="30" t="n">
        <v>8</v>
      </c>
      <c r="AU34" s="30" t="n">
        <v>10</v>
      </c>
      <c r="AV34" s="29" t="inlineStr">
        <is>
          <t>SYP#2</t>
        </is>
      </c>
      <c r="AW34" s="24">
        <f>AQ34*AU34</f>
        <v/>
      </c>
      <c r="AX34" s="84">
        <f>(AQ34*AR34*AT34*AU34)/12</f>
        <v/>
      </c>
      <c r="AY34" s="69" t="n">
        <v>655</v>
      </c>
      <c r="AZ34" s="68">
        <f>(AX34*AY34)/1000</f>
        <v/>
      </c>
      <c r="BA34" s="83">
        <f>AZ34*1.06</f>
        <v/>
      </c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n"/>
      <c r="DK34" s="24" t="n"/>
      <c r="DL34" s="24" t="n"/>
      <c r="DM34" s="24" t="n"/>
      <c r="DN34" s="24" t="n"/>
      <c r="DO34" s="24" t="n"/>
      <c r="DP34" s="24" t="n"/>
      <c r="DQ34" s="24" t="n"/>
      <c r="DR34" s="24" t="n"/>
      <c r="DS34" s="24" t="n"/>
      <c r="DT34" s="24" t="n"/>
      <c r="DU34" s="24" t="n"/>
      <c r="DV34" s="24">
        <f>SUM(BC34:DU34)</f>
        <v/>
      </c>
      <c r="DW34" s="24">
        <f>DV34*AU34</f>
        <v/>
      </c>
      <c r="DX34" s="24">
        <f>DV34*AR34*AT34*AU34/12</f>
        <v/>
      </c>
      <c r="DY34" s="7">
        <f>DX34*AY34/1000</f>
        <v/>
      </c>
      <c r="DZ34" s="23">
        <f>DY34*1.06</f>
        <v/>
      </c>
      <c r="EA34" s="22">
        <f>IFERROR(DY34/AZ34,0)</f>
        <v/>
      </c>
      <c r="EB34" s="24" t="n"/>
      <c r="EC34" s="24" t="n"/>
      <c r="ED34" s="24" t="n"/>
      <c r="EE34" s="24" t="n"/>
      <c r="EF34" s="24" t="n"/>
      <c r="EG34" s="24" t="n"/>
      <c r="EH34" s="24" t="n"/>
      <c r="EI34" s="24" t="n"/>
      <c r="EJ34" s="24" t="n"/>
      <c r="EK34" s="24" t="n"/>
      <c r="EL34" s="24" t="n"/>
      <c r="EM34" s="24" t="n"/>
    </row>
    <row r="35" ht="23.25" customFormat="1" customHeight="1" s="12">
      <c r="A35" s="85" t="inlineStr">
        <is>
          <t>Lumber</t>
        </is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>
        <v>231</v>
      </c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24" t="n"/>
      <c r="AP35" s="24">
        <f>SUM(D35:AO35)</f>
        <v/>
      </c>
      <c r="AQ35" s="24">
        <f>SUM(B35:AO35)</f>
        <v/>
      </c>
      <c r="AR35" s="30" t="n">
        <v>2</v>
      </c>
      <c r="AS35" s="29" t="inlineStr">
        <is>
          <t>x</t>
        </is>
      </c>
      <c r="AT35" s="30" t="n">
        <v>8</v>
      </c>
      <c r="AU35" s="30" t="n">
        <v>12</v>
      </c>
      <c r="AV35" s="29" t="inlineStr">
        <is>
          <t>SYP#2</t>
        </is>
      </c>
      <c r="AW35" s="24">
        <f>AQ35*AU35</f>
        <v/>
      </c>
      <c r="AX35" s="84">
        <f>(AQ35*AR35*AT35*AU35)/12</f>
        <v/>
      </c>
      <c r="AY35" s="62" t="n">
        <v>655</v>
      </c>
      <c r="AZ35" s="7">
        <f>(AX35*AY35)/1000</f>
        <v/>
      </c>
      <c r="BA35" s="83">
        <f>AZ35*1.06</f>
        <v/>
      </c>
      <c r="BB35" s="53" t="inlineStr">
        <is>
          <t>68981017
68981042</t>
        </is>
      </c>
      <c r="BC35" s="53" t="n"/>
      <c r="BD35" s="53" t="n"/>
      <c r="BE35" s="53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>
        <f>231</f>
        <v/>
      </c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n"/>
      <c r="DK35" s="24" t="n"/>
      <c r="DL35" s="24" t="n"/>
      <c r="DM35" s="24" t="n"/>
      <c r="DN35" s="24" t="n"/>
      <c r="DO35" s="24" t="n"/>
      <c r="DP35" s="24" t="n"/>
      <c r="DQ35" s="24" t="n"/>
      <c r="DR35" s="24" t="n"/>
      <c r="DS35" s="24" t="n"/>
      <c r="DT35" s="24" t="n"/>
      <c r="DU35" s="24" t="n"/>
      <c r="DV35" s="24">
        <f>SUM(BC35:DS35)</f>
        <v/>
      </c>
      <c r="DW35" s="24">
        <f>DV35*AU35</f>
        <v/>
      </c>
      <c r="DX35" s="24">
        <f>DV35*AR35*AT35*AU35/12</f>
        <v/>
      </c>
      <c r="DY35" s="7">
        <f>DX35*AY35/1000</f>
        <v/>
      </c>
      <c r="DZ35" s="23">
        <f>DY35*1.07</f>
        <v/>
      </c>
      <c r="EA35" s="22">
        <f>IFERROR(DY35/AZ35,0)</f>
        <v/>
      </c>
      <c r="EB35" s="24" t="n"/>
      <c r="EC35" s="24" t="n"/>
      <c r="ED35" s="24" t="n"/>
      <c r="EE35" s="24">
        <f>IF(EB35&lt;&gt;"",EB35*ED35,0)</f>
        <v/>
      </c>
      <c r="EF35" s="24">
        <f>DV35-EE35</f>
        <v/>
      </c>
      <c r="EG35" s="24">
        <f>EF35*AU35</f>
        <v/>
      </c>
      <c r="EH35" s="24">
        <f>(EF35*AR35*AT35*AU35)/12</f>
        <v/>
      </c>
      <c r="EI35" s="24">
        <f>IFERROR(EH35/DV35,0)</f>
        <v/>
      </c>
      <c r="EJ35" s="24">
        <f>IFERROR(EH35*AY35/1000,0)</f>
        <v/>
      </c>
      <c r="EK35" s="24">
        <f>EJ35*1.07</f>
        <v/>
      </c>
      <c r="EL35" s="24" t="n"/>
      <c r="EM35" s="24" t="n"/>
    </row>
    <row r="36" ht="34.9" customFormat="1" customHeight="1" s="12">
      <c r="A36" s="85" t="inlineStr">
        <is>
          <t>Lumber</t>
        </is>
      </c>
      <c r="B36" s="30" t="n">
        <v>29631</v>
      </c>
      <c r="C36" s="30" t="n">
        <v>-762</v>
      </c>
      <c r="D36" s="30" t="n"/>
      <c r="E36" s="30" t="n"/>
      <c r="F36" s="30" t="n"/>
      <c r="G36" s="30" t="n"/>
      <c r="H36" s="30" t="n"/>
      <c r="I36" s="30" t="n"/>
      <c r="J36" s="30" t="n"/>
      <c r="K36" s="30" t="n">
        <v>-12688</v>
      </c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30" t="n"/>
      <c r="AL36" s="30" t="n"/>
      <c r="AM36" s="30" t="n"/>
      <c r="AN36" s="30" t="n"/>
      <c r="AO36" s="24" t="n"/>
      <c r="AP36" s="24">
        <f>SUM(D36:AO36)</f>
        <v/>
      </c>
      <c r="AQ36" s="24">
        <f>SUM(B36:AO36)</f>
        <v/>
      </c>
      <c r="AR36" s="30" t="n">
        <v>2</v>
      </c>
      <c r="AS36" s="29" t="inlineStr">
        <is>
          <t>x</t>
        </is>
      </c>
      <c r="AT36" s="30" t="n">
        <v>10</v>
      </c>
      <c r="AU36" s="30" t="n">
        <v>1</v>
      </c>
      <c r="AV36" s="29" t="inlineStr">
        <is>
          <t>SYP#2</t>
        </is>
      </c>
      <c r="AW36" s="24">
        <f>AQ36*AU36</f>
        <v/>
      </c>
      <c r="AX36" s="84">
        <f>(AQ36*AR36*AT36*AU36)/12</f>
        <v/>
      </c>
      <c r="AY36" s="62" t="n">
        <v>655</v>
      </c>
      <c r="AZ36" s="68">
        <f>(AX36*AY36)/1000</f>
        <v/>
      </c>
      <c r="BA36" s="83">
        <f>AZ36*1.06</f>
        <v/>
      </c>
      <c r="BB36" s="53" t="inlineStr">
        <is>
          <t>68981017 68981158
68981121</t>
        </is>
      </c>
      <c r="BC36" s="24" t="n"/>
      <c r="BD36" s="24" t="n"/>
      <c r="BE36" s="24" t="n"/>
      <c r="BF36" s="24" t="n"/>
      <c r="BG36" s="24" t="n"/>
      <c r="BH36" s="24">
        <f>80*10</f>
        <v/>
      </c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>
        <f>480*14</f>
        <v/>
      </c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>
        <f>160*12</f>
        <v/>
      </c>
      <c r="DG36" s="24" t="n"/>
      <c r="DH36" s="24" t="n"/>
      <c r="DI36" s="24" t="n"/>
      <c r="DJ36" s="24" t="n"/>
      <c r="DK36" s="24" t="n"/>
      <c r="DL36" s="24" t="n"/>
      <c r="DM36" s="24" t="n"/>
      <c r="DN36" s="24" t="n"/>
      <c r="DO36" s="24" t="n"/>
      <c r="DP36" s="24" t="n"/>
      <c r="DQ36" s="24" t="n"/>
      <c r="DR36" s="24" t="n"/>
      <c r="DS36" s="24" t="n"/>
      <c r="DT36" s="24" t="n"/>
      <c r="DU36" s="24" t="n"/>
      <c r="DV36" s="24">
        <f>SUM(BC36:DS36)</f>
        <v/>
      </c>
      <c r="DW36" s="24">
        <f>DV36*AU36</f>
        <v/>
      </c>
      <c r="DX36" s="86">
        <f>DV36*AR36*AT36*AU36/12</f>
        <v/>
      </c>
      <c r="DY36" s="7">
        <f>DX36*AY36/1000</f>
        <v/>
      </c>
      <c r="DZ36" s="23">
        <f>DY36*1.07</f>
        <v/>
      </c>
      <c r="EA36" s="22">
        <f>IFERROR(DY36/AZ36,0)</f>
        <v/>
      </c>
      <c r="EB36" s="24" t="n"/>
      <c r="EC36" s="24" t="n"/>
      <c r="ED36" s="24" t="n"/>
      <c r="EE36" s="24">
        <f>IF(EB36&lt;&gt;"",EB36*ED36,0)</f>
        <v/>
      </c>
      <c r="EF36" s="24">
        <f>DV36-EE36</f>
        <v/>
      </c>
      <c r="EG36" s="24">
        <f>EF36*AU36</f>
        <v/>
      </c>
      <c r="EH36" s="24">
        <f>(EF36*AR36*AT36*AU36)/12</f>
        <v/>
      </c>
      <c r="EI36" s="24">
        <f>IFERROR(EH36/DV36,0)</f>
        <v/>
      </c>
      <c r="EJ36" s="24">
        <f>IFERROR(EH36*AY36/1000,0)</f>
        <v/>
      </c>
      <c r="EK36" s="24">
        <f>EJ36*1.07</f>
        <v/>
      </c>
      <c r="EL36" s="24" t="n"/>
      <c r="EM36" s="24" t="n"/>
    </row>
    <row r="37" ht="11.65" customFormat="1" customHeight="1" s="12">
      <c r="A37" s="85" t="n"/>
      <c r="B37" s="30" t="n"/>
      <c r="C37" s="30">
        <f>-19-95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>
        <v>3491</v>
      </c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0" t="n"/>
      <c r="AG37" s="30" t="n"/>
      <c r="AH37" s="30" t="n"/>
      <c r="AI37" s="30" t="n"/>
      <c r="AJ37" s="30" t="n"/>
      <c r="AK37" s="30" t="n"/>
      <c r="AL37" s="30" t="n"/>
      <c r="AM37" s="30" t="n"/>
      <c r="AN37" s="30" t="n"/>
      <c r="AO37" s="24" t="n"/>
      <c r="AP37" s="24">
        <f>SUM(D37:AO37)</f>
        <v/>
      </c>
      <c r="AQ37" s="24">
        <f>SUM(B37:AO37)</f>
        <v/>
      </c>
      <c r="AR37" s="30" t="n">
        <v>2</v>
      </c>
      <c r="AS37" s="29" t="inlineStr">
        <is>
          <t>x</t>
        </is>
      </c>
      <c r="AT37" s="30" t="n">
        <v>10</v>
      </c>
      <c r="AU37" s="30" t="n">
        <v>8</v>
      </c>
      <c r="AV37" s="29" t="inlineStr">
        <is>
          <t>SYP#2</t>
        </is>
      </c>
      <c r="AW37" s="24">
        <f>AQ37*AU37</f>
        <v/>
      </c>
      <c r="AX37" s="84">
        <f>(AQ37*AR37*AT37*AU37)/12</f>
        <v/>
      </c>
      <c r="AY37" s="62" t="n">
        <v>655</v>
      </c>
      <c r="AZ37" s="7">
        <f>(AX37*AY37)/1000</f>
        <v/>
      </c>
      <c r="BA37" s="83">
        <f>AZ37*1.06</f>
        <v/>
      </c>
      <c r="BB37" s="24" t="n">
        <v>68981152</v>
      </c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  <c r="CT37" s="24" t="n"/>
      <c r="CU37" s="24">
        <f>320</f>
        <v/>
      </c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n"/>
      <c r="DK37" s="24" t="n"/>
      <c r="DL37" s="24" t="n"/>
      <c r="DM37" s="24" t="n"/>
      <c r="DN37" s="24" t="n"/>
      <c r="DO37" s="24" t="n"/>
      <c r="DP37" s="24" t="n"/>
      <c r="DQ37" s="24" t="n"/>
      <c r="DR37" s="24" t="n"/>
      <c r="DS37" s="24" t="n"/>
      <c r="DT37" s="24" t="n"/>
      <c r="DU37" s="24" t="n"/>
      <c r="DV37" s="24">
        <f>SUM(BC37:DU37)</f>
        <v/>
      </c>
      <c r="DW37" s="24">
        <f>DV37*AU37</f>
        <v/>
      </c>
      <c r="DX37" s="86">
        <f>DV37*AR37*AT37*AU37/12</f>
        <v/>
      </c>
      <c r="DY37" s="7">
        <f>DX37*AY37/1000</f>
        <v/>
      </c>
      <c r="DZ37" s="23">
        <f>DY37*1.06</f>
        <v/>
      </c>
      <c r="EA37" s="22">
        <f>IFERROR(DY37/AZ37,0)</f>
        <v/>
      </c>
      <c r="EB37" s="24" t="n"/>
      <c r="EC37" s="24" t="n"/>
      <c r="ED37" s="24" t="n"/>
      <c r="EE37" s="24" t="n"/>
      <c r="EF37" s="24" t="n"/>
      <c r="EG37" s="24" t="n"/>
      <c r="EH37" s="24" t="n"/>
      <c r="EI37" s="24" t="n"/>
      <c r="EJ37" s="24" t="n"/>
      <c r="EK37" s="24" t="n"/>
      <c r="EL37" s="24" t="n"/>
      <c r="EM37" s="24" t="n"/>
    </row>
    <row r="38" ht="11.65" customFormat="1" customHeight="1" s="12">
      <c r="A38" s="85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>
        <v>345</v>
      </c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30" t="n"/>
      <c r="AO38" s="24" t="n"/>
      <c r="AP38" s="24">
        <f>SUM(D38:AO38)</f>
        <v/>
      </c>
      <c r="AQ38" s="24">
        <f>SUM(B38:AO38)</f>
        <v/>
      </c>
      <c r="AR38" s="30" t="n">
        <v>2</v>
      </c>
      <c r="AS38" s="29" t="inlineStr">
        <is>
          <t>x</t>
        </is>
      </c>
      <c r="AT38" s="30" t="n">
        <v>10</v>
      </c>
      <c r="AU38" s="30" t="n">
        <v>10</v>
      </c>
      <c r="AV38" s="29" t="inlineStr">
        <is>
          <t>SYP#2</t>
        </is>
      </c>
      <c r="AW38" s="24">
        <f>AQ38*AU38</f>
        <v/>
      </c>
      <c r="AX38" s="84">
        <f>(AQ38*AR38*AT38*AU38)/12</f>
        <v/>
      </c>
      <c r="AY38" s="62" t="n">
        <v>655</v>
      </c>
      <c r="AZ38" s="7">
        <f>(AX38*AY38)/1000</f>
        <v/>
      </c>
      <c r="BA38" s="83">
        <f>AZ38*1.06</f>
        <v/>
      </c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  <c r="DQ38" s="24" t="n"/>
      <c r="DR38" s="24" t="n"/>
      <c r="DS38" s="24" t="n"/>
      <c r="DT38" s="24" t="n"/>
      <c r="DU38" s="24" t="n"/>
      <c r="DV38" s="24">
        <f>SUM(BC38:DU38)</f>
        <v/>
      </c>
      <c r="DW38" s="24">
        <f>DV38*AU38</f>
        <v/>
      </c>
      <c r="DX38" s="24">
        <f>DV38*AR38*AT38*AU38/12</f>
        <v/>
      </c>
      <c r="DY38" s="7">
        <f>DX38*AY38/1000</f>
        <v/>
      </c>
      <c r="DZ38" s="23">
        <f>DY38*1.06</f>
        <v/>
      </c>
      <c r="EA38" s="22">
        <f>IFERROR(DY38/AZ38,0)</f>
        <v/>
      </c>
      <c r="EB38" s="24" t="n"/>
      <c r="EC38" s="24" t="n"/>
      <c r="ED38" s="24" t="n"/>
      <c r="EE38" s="24" t="n"/>
      <c r="EF38" s="24" t="n"/>
      <c r="EG38" s="24" t="n"/>
      <c r="EH38" s="24" t="n"/>
      <c r="EI38" s="24" t="n"/>
      <c r="EJ38" s="24" t="n"/>
      <c r="EK38" s="24" t="n"/>
      <c r="EL38" s="24" t="n"/>
      <c r="EM38" s="24" t="n"/>
    </row>
    <row r="39" ht="46.5" customFormat="1" customHeight="1" s="12">
      <c r="A39" s="85" t="inlineStr">
        <is>
          <t>Lumber</t>
        </is>
      </c>
      <c r="B39" s="30" t="n">
        <v>1789</v>
      </c>
      <c r="C39" s="30" t="n">
        <v>-47</v>
      </c>
      <c r="D39" s="30" t="n"/>
      <c r="E39" s="30" t="n"/>
      <c r="F39" s="30" t="n"/>
      <c r="G39" s="30" t="n"/>
      <c r="H39" s="30" t="n"/>
      <c r="I39" s="30" t="n"/>
      <c r="J39" s="30" t="n"/>
      <c r="K39" s="30" t="n">
        <v>68</v>
      </c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24" t="n"/>
      <c r="AP39" s="24">
        <f>SUM(D39:AO39)</f>
        <v/>
      </c>
      <c r="AQ39" s="24">
        <f>SUM(B39:AO39)</f>
        <v/>
      </c>
      <c r="AR39" s="30" t="n">
        <v>2</v>
      </c>
      <c r="AS39" s="29" t="inlineStr">
        <is>
          <t>x</t>
        </is>
      </c>
      <c r="AT39" s="30" t="n">
        <v>10</v>
      </c>
      <c r="AU39" s="30" t="n">
        <v>12</v>
      </c>
      <c r="AV39" s="29" t="inlineStr">
        <is>
          <t>SYP#2</t>
        </is>
      </c>
      <c r="AW39" s="24">
        <f>AQ39*AU39</f>
        <v/>
      </c>
      <c r="AX39" s="84">
        <f>(AQ39*AR39*AT39*AU39)/12</f>
        <v/>
      </c>
      <c r="AY39" s="62" t="n">
        <v>655</v>
      </c>
      <c r="AZ39" s="7">
        <f>(AX39*AY39)/1000</f>
        <v/>
      </c>
      <c r="BA39" s="83">
        <f>AZ39*1.06</f>
        <v/>
      </c>
      <c r="BB39" s="53" t="inlineStr">
        <is>
          <t>68981014
68981029
68981041
68981042</t>
        </is>
      </c>
      <c r="BC39" s="53" t="n"/>
      <c r="BD39" s="53" t="n"/>
      <c r="BE39" s="53" t="n"/>
      <c r="BF39" s="24" t="n"/>
      <c r="BG39" s="24" t="n"/>
      <c r="BH39" s="24" t="n"/>
      <c r="BI39" s="24" t="n">
        <v>47</v>
      </c>
      <c r="BJ39" s="24">
        <f>160</f>
        <v/>
      </c>
      <c r="BK39" s="24" t="n"/>
      <c r="BL39" s="24" t="n"/>
      <c r="BM39" s="24" t="n"/>
      <c r="BN39" s="24" t="n"/>
      <c r="BO39" s="24" t="n"/>
      <c r="BP39" s="24">
        <f>1120</f>
        <v/>
      </c>
      <c r="BQ39" s="24">
        <f>812+68</f>
        <v/>
      </c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  <c r="DQ39" s="24" t="n"/>
      <c r="DR39" s="24" t="n"/>
      <c r="DS39" s="24" t="n"/>
      <c r="DT39" s="24" t="n"/>
      <c r="DU39" s="24" t="n"/>
      <c r="DV39" s="24">
        <f>SUM(BC39:DS39)</f>
        <v/>
      </c>
      <c r="DW39" s="24">
        <f>DV39*AU39</f>
        <v/>
      </c>
      <c r="DX39" s="24">
        <f>DV39*AR39*AT39*AU39/12</f>
        <v/>
      </c>
      <c r="DY39" s="7">
        <f>DX39*AY39/1000</f>
        <v/>
      </c>
      <c r="DZ39" s="23">
        <f>DY39*1.07</f>
        <v/>
      </c>
      <c r="EA39" s="22">
        <f>IFERROR(DY39/AZ39,0)</f>
        <v/>
      </c>
      <c r="EB39" s="24" t="n"/>
      <c r="EC39" s="24" t="n"/>
      <c r="ED39" s="24" t="n"/>
      <c r="EE39" s="24">
        <f>IF(EB39&lt;&gt;"",EB39*ED39,0)</f>
        <v/>
      </c>
      <c r="EF39" s="24">
        <f>DV39-EE39</f>
        <v/>
      </c>
      <c r="EG39" s="24">
        <f>EF39*AU39</f>
        <v/>
      </c>
      <c r="EH39" s="24">
        <f>(EF39*AR39*AT39*AU39)/12</f>
        <v/>
      </c>
      <c r="EI39" s="24">
        <f>IFERROR(EH39/DV39,0)</f>
        <v/>
      </c>
      <c r="EJ39" s="24">
        <f>IFERROR(EH39*AY39/1000,0)</f>
        <v/>
      </c>
      <c r="EK39" s="24">
        <f>EJ39*1.07</f>
        <v/>
      </c>
      <c r="EL39" s="24" t="n"/>
      <c r="EM39" s="24" t="n"/>
    </row>
    <row r="40" ht="11.65" customFormat="1" customHeight="1" s="12">
      <c r="A40" s="85" t="inlineStr">
        <is>
          <t>Lumber</t>
        </is>
      </c>
      <c r="B40" s="30" t="n">
        <v>4475</v>
      </c>
      <c r="C40" s="30">
        <f>-63</f>
        <v/>
      </c>
      <c r="D40" s="30" t="n"/>
      <c r="E40" s="30" t="n"/>
      <c r="F40" s="30" t="n"/>
      <c r="G40" s="30" t="n"/>
      <c r="H40" s="30" t="n"/>
      <c r="I40" s="30" t="n"/>
      <c r="J40" s="30" t="n">
        <v>7590</v>
      </c>
      <c r="K40" s="30">
        <f>-26403+12167</f>
        <v/>
      </c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24" t="n"/>
      <c r="AP40" s="24">
        <f>SUM(D40:AO40)</f>
        <v/>
      </c>
      <c r="AQ40" s="24">
        <f>SUM(B40:AO40)</f>
        <v/>
      </c>
      <c r="AR40" s="30" t="n">
        <v>2</v>
      </c>
      <c r="AS40" s="29" t="inlineStr">
        <is>
          <t>x</t>
        </is>
      </c>
      <c r="AT40" s="30" t="n">
        <v>12</v>
      </c>
      <c r="AU40" s="30" t="n">
        <v>1</v>
      </c>
      <c r="AV40" s="29" t="inlineStr">
        <is>
          <t>SYP#2</t>
        </is>
      </c>
      <c r="AW40" s="24">
        <f>AQ40*AU40</f>
        <v/>
      </c>
      <c r="AX40" s="84">
        <f>(AQ40*AR40*AT40*AU40)/12</f>
        <v/>
      </c>
      <c r="AY40" s="62" t="n">
        <v>715</v>
      </c>
      <c r="AZ40" s="7">
        <f>(AX40*AY40)/1000</f>
        <v/>
      </c>
      <c r="BA40" s="83">
        <f>AZ40*1.06</f>
        <v/>
      </c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n"/>
      <c r="DK40" s="24" t="n"/>
      <c r="DL40" s="24" t="n"/>
      <c r="DM40" s="24" t="n"/>
      <c r="DN40" s="24" t="n"/>
      <c r="DO40" s="24" t="n"/>
      <c r="DP40" s="24" t="n"/>
      <c r="DQ40" s="24" t="n"/>
      <c r="DR40" s="24" t="n"/>
      <c r="DS40" s="24" t="n"/>
      <c r="DT40" s="24" t="n"/>
      <c r="DU40" s="24" t="n"/>
      <c r="DV40" s="24">
        <f>SUM(BC40:DS40)</f>
        <v/>
      </c>
      <c r="DW40" s="24">
        <f>DV40*AU40</f>
        <v/>
      </c>
      <c r="DX40" s="24">
        <f>DV40*AR40*AT40*AU40/12</f>
        <v/>
      </c>
      <c r="DY40" s="7">
        <f>DX40*AY40/1000</f>
        <v/>
      </c>
      <c r="DZ40" s="23">
        <f>DY40*1.07</f>
        <v/>
      </c>
      <c r="EA40" s="22">
        <f>IFERROR(DY40/AZ40,0)</f>
        <v/>
      </c>
      <c r="EB40" s="24" t="n"/>
      <c r="EC40" s="24" t="n"/>
      <c r="ED40" s="24" t="n"/>
      <c r="EE40" s="24">
        <f>IF(EB40&lt;&gt;"",EB40*ED40,0)</f>
        <v/>
      </c>
      <c r="EF40" s="24">
        <f>DV40-EE40</f>
        <v/>
      </c>
      <c r="EG40" s="24">
        <f>EF40*AU40</f>
        <v/>
      </c>
      <c r="EH40" s="24">
        <f>(EF40*AR40*AT40*AU40)/12</f>
        <v/>
      </c>
      <c r="EI40" s="24">
        <f>IFERROR(EH40/DV40,0)</f>
        <v/>
      </c>
      <c r="EJ40" s="24">
        <f>IFERROR(EH40*AY40/1000,0)</f>
        <v/>
      </c>
      <c r="EK40" s="24">
        <f>EJ40*1.07</f>
        <v/>
      </c>
      <c r="EL40" s="24" t="n"/>
      <c r="EM40" s="24" t="n"/>
    </row>
    <row r="41" ht="11.65" customFormat="1" customHeight="1" s="12">
      <c r="A41" s="85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>
        <v>3</v>
      </c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24" t="n"/>
      <c r="AP41" s="24">
        <f>SUM(D41:AO41)</f>
        <v/>
      </c>
      <c r="AQ41" s="24">
        <f>SUM(B41:AO41)</f>
        <v/>
      </c>
      <c r="AR41" s="30" t="n">
        <v>2</v>
      </c>
      <c r="AS41" s="29" t="inlineStr">
        <is>
          <t>x</t>
        </is>
      </c>
      <c r="AT41" s="30" t="n">
        <v>12</v>
      </c>
      <c r="AU41" s="30" t="n">
        <v>8</v>
      </c>
      <c r="AV41" s="29" t="inlineStr">
        <is>
          <t>SYP#2</t>
        </is>
      </c>
      <c r="AW41" s="24">
        <f>AQ41*AU41</f>
        <v/>
      </c>
      <c r="AX41" s="84">
        <f>(AQ41*AR41*AT41*AU41)/12</f>
        <v/>
      </c>
      <c r="AY41" s="62" t="n">
        <v>715</v>
      </c>
      <c r="AZ41" s="7">
        <f>(AX41*AY41)/1000</f>
        <v/>
      </c>
      <c r="BA41" s="83">
        <f>AZ41*1.06</f>
        <v/>
      </c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  <c r="DQ41" s="24" t="n"/>
      <c r="DR41" s="24" t="n"/>
      <c r="DS41" s="24" t="n"/>
      <c r="DT41" s="24" t="n"/>
      <c r="DU41" s="24" t="n"/>
      <c r="DV41" s="24">
        <f>SUM(BC41:DU41)</f>
        <v/>
      </c>
      <c r="DW41" s="24">
        <f>DV41*AU41</f>
        <v/>
      </c>
      <c r="DX41" s="24">
        <f>DV41*AR41*AT41*AU41/12</f>
        <v/>
      </c>
      <c r="DY41" s="7">
        <f>DX41*AY41/1000</f>
        <v/>
      </c>
      <c r="DZ41" s="23">
        <f>DY41*1.06</f>
        <v/>
      </c>
      <c r="EA41" s="22">
        <f>IFERROR(DY41/AZ41,0)</f>
        <v/>
      </c>
      <c r="EB41" s="24" t="n"/>
      <c r="EC41" s="24" t="n"/>
      <c r="ED41" s="24" t="n"/>
      <c r="EE41" s="24" t="n"/>
      <c r="EF41" s="24" t="n"/>
      <c r="EG41" s="24" t="n"/>
      <c r="EH41" s="24" t="n"/>
      <c r="EI41" s="24" t="n"/>
      <c r="EJ41" s="24" t="n"/>
      <c r="EK41" s="24" t="n"/>
      <c r="EL41" s="24" t="n"/>
      <c r="EM41" s="24" t="n"/>
    </row>
    <row r="42" ht="11.65" customFormat="1" customHeight="1" s="12">
      <c r="A42" s="85" t="inlineStr">
        <is>
          <t>Lumber</t>
        </is>
      </c>
      <c r="B42" s="30" t="n">
        <v>265</v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30" t="n"/>
      <c r="AO42" s="24" t="n"/>
      <c r="AP42" s="24">
        <f>SUM(D42:AO42)</f>
        <v/>
      </c>
      <c r="AQ42" s="24">
        <f>SUM(B42:AO42)</f>
        <v/>
      </c>
      <c r="AR42" s="30" t="n">
        <v>2</v>
      </c>
      <c r="AS42" s="29" t="inlineStr">
        <is>
          <t>x</t>
        </is>
      </c>
      <c r="AT42" s="30" t="n">
        <v>12</v>
      </c>
      <c r="AU42" s="30" t="n">
        <v>10</v>
      </c>
      <c r="AV42" s="29" t="inlineStr">
        <is>
          <t>SYP#2</t>
        </is>
      </c>
      <c r="AW42" s="24">
        <f>AQ42*AU42</f>
        <v/>
      </c>
      <c r="AX42" s="84">
        <f>(AQ42*AR42*AT42*AU42)/12</f>
        <v/>
      </c>
      <c r="AY42" s="62" t="n">
        <v>715</v>
      </c>
      <c r="AZ42" s="7">
        <f>(AX42*AY42)/1000</f>
        <v/>
      </c>
      <c r="BA42" s="83">
        <f>AZ42*1.06</f>
        <v/>
      </c>
      <c r="BB42" s="24" t="n">
        <v>68981121</v>
      </c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>
        <f>64+64</f>
        <v/>
      </c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n"/>
      <c r="DR42" s="24" t="n"/>
      <c r="DS42" s="24" t="n"/>
      <c r="DT42" s="24" t="n"/>
      <c r="DU42" s="24" t="n"/>
      <c r="DV42" s="24">
        <f>SUM(BC42:DS42)</f>
        <v/>
      </c>
      <c r="DW42" s="24">
        <f>DV42*AU42</f>
        <v/>
      </c>
      <c r="DX42" s="24">
        <f>DV42*AR42*AT42*AU42/12</f>
        <v/>
      </c>
      <c r="DY42" s="7">
        <f>DX42*AY42/1000</f>
        <v/>
      </c>
      <c r="DZ42" s="23">
        <f>DY42*1.07</f>
        <v/>
      </c>
      <c r="EA42" s="22">
        <f>IFERROR(DY42/AZ42,0)</f>
        <v/>
      </c>
      <c r="EB42" s="24" t="n"/>
      <c r="EC42" s="24" t="n"/>
      <c r="ED42" s="24" t="n"/>
      <c r="EE42" s="24">
        <f>IF(EB42&lt;&gt;"",EB42*ED42,0)</f>
        <v/>
      </c>
      <c r="EF42" s="24">
        <f>DV42-EE42</f>
        <v/>
      </c>
      <c r="EG42" s="24">
        <f>EF42*AU42</f>
        <v/>
      </c>
      <c r="EH42" s="24">
        <f>(EF42*AR42*AT42*AU42)/12</f>
        <v/>
      </c>
      <c r="EI42" s="24">
        <f>IFERROR(EH42/DV42,0)</f>
        <v/>
      </c>
      <c r="EJ42" s="24">
        <f>IFERROR(EH42*AY42/1000,0)</f>
        <v/>
      </c>
      <c r="EK42" s="24">
        <f>EJ42*1.07</f>
        <v/>
      </c>
      <c r="EL42" s="24" t="n"/>
      <c r="EM42" s="24" t="n"/>
    </row>
    <row r="43" ht="23.25" customFormat="1" customHeight="1" s="12">
      <c r="A43" s="85" t="inlineStr">
        <is>
          <t>Lumber</t>
        </is>
      </c>
      <c r="B43" s="30" t="n">
        <v>974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>
        <v>530</v>
      </c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24" t="n"/>
      <c r="AP43" s="24">
        <f>SUM(D43:AO43)</f>
        <v/>
      </c>
      <c r="AQ43" s="24">
        <f>SUM(B43:AO43)</f>
        <v/>
      </c>
      <c r="AR43" s="30" t="n">
        <v>2</v>
      </c>
      <c r="AS43" s="29" t="inlineStr">
        <is>
          <t>x</t>
        </is>
      </c>
      <c r="AT43" s="30" t="n">
        <v>12</v>
      </c>
      <c r="AU43" s="30" t="n">
        <v>12</v>
      </c>
      <c r="AV43" s="29" t="inlineStr">
        <is>
          <t>SYP#2</t>
        </is>
      </c>
      <c r="AW43" s="24">
        <f>AQ43*AU43</f>
        <v/>
      </c>
      <c r="AX43" s="84">
        <f>(AQ43*AR43*AT43*AU43)/12</f>
        <v/>
      </c>
      <c r="AY43" s="62" t="n">
        <v>715</v>
      </c>
      <c r="AZ43" s="7">
        <f>(AX43*AY43)/1000</f>
        <v/>
      </c>
      <c r="BA43" s="83">
        <f>AZ43*1.06</f>
        <v/>
      </c>
      <c r="BB43" s="53" t="inlineStr">
        <is>
          <t>68981017
68981043</t>
        </is>
      </c>
      <c r="BC43" s="53" t="n"/>
      <c r="BD43" s="53" t="n"/>
      <c r="BE43" s="53" t="n"/>
      <c r="BF43" s="24" t="n"/>
      <c r="BG43" s="24" t="n"/>
      <c r="BH43" s="24">
        <f>58</f>
        <v/>
      </c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>
        <f>366+530</f>
        <v/>
      </c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  <c r="DQ43" s="24" t="n"/>
      <c r="DR43" s="24" t="n"/>
      <c r="DS43" s="24" t="n"/>
      <c r="DT43" s="24" t="n"/>
      <c r="DU43" s="24" t="n"/>
      <c r="DV43" s="24">
        <f>SUM(BC43:DS43)</f>
        <v/>
      </c>
      <c r="DW43" s="24">
        <f>DV43*AU43</f>
        <v/>
      </c>
      <c r="DX43" s="24">
        <f>DV43*AR43*AT43*AU43/12</f>
        <v/>
      </c>
      <c r="DY43" s="7">
        <f>DX43*AY43/1000</f>
        <v/>
      </c>
      <c r="DZ43" s="23">
        <f>DY43*1.07</f>
        <v/>
      </c>
      <c r="EA43" s="22">
        <f>IFERROR(DY43/AZ43,0)</f>
        <v/>
      </c>
      <c r="EB43" s="24" t="n"/>
      <c r="EC43" s="24" t="n"/>
      <c r="ED43" s="24" t="n"/>
      <c r="EE43" s="24">
        <f>IF(EB43&lt;&gt;"",EB43*ED43,0)</f>
        <v/>
      </c>
      <c r="EF43" s="24">
        <f>DV43-EE43</f>
        <v/>
      </c>
      <c r="EG43" s="24">
        <f>EF43*AU43</f>
        <v/>
      </c>
      <c r="EH43" s="24">
        <f>(EF43*AR43*AT43*AU43)/12</f>
        <v/>
      </c>
      <c r="EI43" s="24">
        <f>IFERROR(EH43/DV43,0)</f>
        <v/>
      </c>
      <c r="EJ43" s="24">
        <f>IFERROR(EH43*AY43/1000,0)</f>
        <v/>
      </c>
      <c r="EK43" s="24">
        <f>EJ43*1.07</f>
        <v/>
      </c>
      <c r="EL43" s="24" t="n"/>
      <c r="EM43" s="24" t="n"/>
    </row>
    <row r="44" ht="11.65" customFormat="1" customHeight="1" s="12">
      <c r="A44" s="85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>
        <v>32</v>
      </c>
      <c r="L44" s="30" t="n"/>
      <c r="M44" s="30" t="n">
        <v>64</v>
      </c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24" t="n"/>
      <c r="AP44" s="24">
        <f>SUM(D44:AO44)</f>
        <v/>
      </c>
      <c r="AQ44" s="24">
        <f>SUM(B44:AO44)</f>
        <v/>
      </c>
      <c r="AR44" s="30" t="n">
        <v>2</v>
      </c>
      <c r="AS44" s="29" t="inlineStr">
        <is>
          <t>x</t>
        </is>
      </c>
      <c r="AT44" s="30" t="n">
        <v>12</v>
      </c>
      <c r="AU44" s="30" t="n">
        <v>18</v>
      </c>
      <c r="AV44" s="29" t="inlineStr">
        <is>
          <t>SYP#2</t>
        </is>
      </c>
      <c r="AW44" s="24">
        <f>AQ44*AU44</f>
        <v/>
      </c>
      <c r="AX44" s="84">
        <f>(AQ44*AR44*AT44*AU44)/12</f>
        <v/>
      </c>
      <c r="AY44" s="62" t="n">
        <v>815</v>
      </c>
      <c r="AZ44" s="7">
        <f>(AX44*AY44)/1000</f>
        <v/>
      </c>
      <c r="BA44" s="83">
        <f>AZ44*1.06</f>
        <v/>
      </c>
      <c r="BB44" s="24" t="n">
        <v>68981054</v>
      </c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>
        <v>64</v>
      </c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n"/>
      <c r="DK44" s="24" t="n"/>
      <c r="DL44" s="24" t="n"/>
      <c r="DM44" s="24" t="n"/>
      <c r="DN44" s="24" t="n"/>
      <c r="DO44" s="24" t="n"/>
      <c r="DP44" s="24" t="n"/>
      <c r="DQ44" s="24" t="n"/>
      <c r="DR44" s="24" t="n"/>
      <c r="DS44" s="24" t="n"/>
      <c r="DT44" s="24" t="n"/>
      <c r="DU44" s="24" t="n"/>
      <c r="DV44" s="24">
        <f>SUM(BC44:DU44)</f>
        <v/>
      </c>
      <c r="DW44" s="24">
        <f>DV44*AU44</f>
        <v/>
      </c>
      <c r="DX44" s="24">
        <f>DV44*AR44*AT44*AU44/12</f>
        <v/>
      </c>
      <c r="DY44" s="7">
        <f>DX44*AY44/1000</f>
        <v/>
      </c>
      <c r="DZ44" s="23">
        <f>DY44*1.06</f>
        <v/>
      </c>
      <c r="EA44" s="22">
        <f>IFERROR(DY44/AZ44,0)</f>
        <v/>
      </c>
      <c r="EB44" s="24" t="n"/>
      <c r="EC44" s="24" t="n"/>
      <c r="ED44" s="24" t="n"/>
      <c r="EE44" s="24" t="n"/>
      <c r="EF44" s="24" t="n"/>
      <c r="EG44" s="24" t="n"/>
      <c r="EH44" s="24" t="n"/>
      <c r="EI44" s="24" t="n"/>
      <c r="EJ44" s="24" t="n"/>
      <c r="EK44" s="24" t="n"/>
      <c r="EL44" s="24" t="n"/>
      <c r="EM44" s="24" t="n"/>
    </row>
    <row r="45" ht="11.65" customFormat="1" customHeight="1" s="12">
      <c r="A45" s="85" t="inlineStr">
        <is>
          <t>Lumber</t>
        </is>
      </c>
      <c r="B45" s="30" t="n">
        <v>102</v>
      </c>
      <c r="C45" s="30" t="n"/>
      <c r="D45" s="30" t="n"/>
      <c r="E45" s="30" t="n"/>
      <c r="F45" s="135" t="n"/>
      <c r="G45" s="135" t="n"/>
      <c r="H45" s="135" t="n"/>
      <c r="I45" s="135" t="n"/>
      <c r="J45" s="135" t="n"/>
      <c r="K45" s="30" t="n">
        <v>-102</v>
      </c>
      <c r="L45" s="135" t="n"/>
      <c r="M45" s="135" t="n"/>
      <c r="N45" s="135" t="n"/>
      <c r="O45" s="135" t="n"/>
      <c r="P45" s="135" t="n"/>
      <c r="Q45" s="135" t="n"/>
      <c r="R45" s="135" t="n"/>
      <c r="S45" s="135" t="n"/>
      <c r="T45" s="135" t="n"/>
      <c r="U45" s="135" t="n"/>
      <c r="V45" s="135" t="n"/>
      <c r="W45" s="135" t="n"/>
      <c r="X45" s="135" t="n"/>
      <c r="Y45" s="135" t="n"/>
      <c r="Z45" s="135" t="n"/>
      <c r="AA45" s="135" t="n"/>
      <c r="AB45" s="135" t="n"/>
      <c r="AC45" s="135" t="n"/>
      <c r="AD45" s="135" t="n"/>
      <c r="AE45" s="135" t="n"/>
      <c r="AF45" s="135" t="n"/>
      <c r="AG45" s="135" t="n"/>
      <c r="AH45" s="135" t="n"/>
      <c r="AI45" s="135" t="n"/>
      <c r="AJ45" s="135" t="n"/>
      <c r="AK45" s="135" t="n"/>
      <c r="AL45" s="135" t="n"/>
      <c r="AM45" s="135" t="n"/>
      <c r="AN45" s="135" t="n"/>
      <c r="AO45" s="24" t="n"/>
      <c r="AP45" s="24">
        <f>SUM(D45:AO45)</f>
        <v/>
      </c>
      <c r="AQ45" s="24">
        <f>SUM(B45:AO45)</f>
        <v/>
      </c>
      <c r="AR45" s="30" t="n">
        <v>2</v>
      </c>
      <c r="AS45" s="29" t="inlineStr">
        <is>
          <t>x</t>
        </is>
      </c>
      <c r="AT45" s="30" t="n">
        <v>4</v>
      </c>
      <c r="AU45" s="30" t="n">
        <v>8</v>
      </c>
      <c r="AV45" s="29" t="inlineStr">
        <is>
          <t>SYP#2 PET</t>
        </is>
      </c>
      <c r="AW45" s="24">
        <f>AQ45*AU45</f>
        <v/>
      </c>
      <c r="AX45" s="84">
        <f>(AQ45*AR45*AT45*AU45)/12</f>
        <v/>
      </c>
      <c r="AY45" s="62" t="n">
        <v>635</v>
      </c>
      <c r="AZ45" s="7">
        <f>(AX45*AY45)/1000</f>
        <v/>
      </c>
      <c r="BA45" s="83">
        <f>AZ45*1.06</f>
        <v/>
      </c>
      <c r="BB45" s="53" t="n"/>
      <c r="BC45" s="53" t="n"/>
      <c r="BD45" s="53" t="n"/>
      <c r="BE45" s="53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n"/>
      <c r="DK45" s="24" t="n"/>
      <c r="DL45" s="24" t="n"/>
      <c r="DM45" s="24" t="n"/>
      <c r="DN45" s="24" t="n"/>
      <c r="DO45" s="24" t="n"/>
      <c r="DP45" s="24" t="n"/>
      <c r="DQ45" s="24" t="n"/>
      <c r="DR45" s="24" t="n"/>
      <c r="DS45" s="24" t="n"/>
      <c r="DT45" s="24" t="n"/>
      <c r="DU45" s="24" t="n"/>
      <c r="DV45" s="24">
        <f>SUM(BC45:DS45)</f>
        <v/>
      </c>
      <c r="DW45" s="24">
        <f>DV45*AU45</f>
        <v/>
      </c>
      <c r="DX45" s="24">
        <f>DV45*AR45*AT45*AU45/12</f>
        <v/>
      </c>
      <c r="DY45" s="7">
        <f>DX45*AY45/1000</f>
        <v/>
      </c>
      <c r="DZ45" s="23">
        <f>DY45*1.07</f>
        <v/>
      </c>
      <c r="EA45" s="22">
        <f>IFERROR(DY45/AZ45,0)</f>
        <v/>
      </c>
      <c r="EB45" s="24" t="n"/>
      <c r="EC45" s="24" t="n"/>
      <c r="ED45" s="24" t="n"/>
      <c r="EE45" s="24">
        <f>IF(EB45&lt;&gt;"",EB45*ED45,0)</f>
        <v/>
      </c>
      <c r="EF45" s="24">
        <f>DV45-EE45</f>
        <v/>
      </c>
      <c r="EG45" s="24">
        <f>EF45*AU45</f>
        <v/>
      </c>
      <c r="EH45" s="24">
        <f>(EF45*AR45*AT45*AU45)/12</f>
        <v/>
      </c>
      <c r="EI45" s="24">
        <f>IFERROR(EH45/DV45,0)</f>
        <v/>
      </c>
      <c r="EJ45" s="24">
        <f>IFERROR(EH45*AY45/1000,0)</f>
        <v/>
      </c>
      <c r="EK45" s="24">
        <f>EJ45*1.07</f>
        <v/>
      </c>
      <c r="EL45" s="24" t="n"/>
      <c r="EM45" s="24" t="n"/>
    </row>
    <row r="46" ht="11.65" customFormat="1" customHeight="1" s="12">
      <c r="A46" s="85" t="inlineStr">
        <is>
          <t>Lumber</t>
        </is>
      </c>
      <c r="B46" s="30" t="n">
        <v>20</v>
      </c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>
        <v>-20</v>
      </c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0" t="n"/>
      <c r="AK46" s="30" t="n"/>
      <c r="AL46" s="30" t="n"/>
      <c r="AM46" s="30" t="n"/>
      <c r="AN46" s="30" t="n"/>
      <c r="AO46" s="24" t="n"/>
      <c r="AP46" s="24">
        <f>SUM(D46:AO46)</f>
        <v/>
      </c>
      <c r="AQ46" s="24">
        <f>SUM(B46:AO46)</f>
        <v/>
      </c>
      <c r="AR46" s="30" t="n">
        <v>2</v>
      </c>
      <c r="AS46" s="29" t="inlineStr">
        <is>
          <t>x</t>
        </is>
      </c>
      <c r="AT46" s="30" t="n">
        <v>4</v>
      </c>
      <c r="AU46" s="30" t="n">
        <v>18</v>
      </c>
      <c r="AV46" s="29" t="inlineStr">
        <is>
          <t>SYP#2 PET</t>
        </is>
      </c>
      <c r="AW46" s="24">
        <f>AQ46*AU46</f>
        <v/>
      </c>
      <c r="AX46" s="84">
        <f>(AQ46*AR46*AT46*AU46)/12</f>
        <v/>
      </c>
      <c r="AY46" s="62" t="n">
        <v>635</v>
      </c>
      <c r="AZ46" s="7">
        <f>(AX46*AY46)/1000</f>
        <v/>
      </c>
      <c r="BA46" s="83">
        <f>AZ46*1.06</f>
        <v/>
      </c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  <c r="DQ46" s="24" t="n"/>
      <c r="DR46" s="24" t="n"/>
      <c r="DS46" s="24" t="n"/>
      <c r="DT46" s="24" t="n"/>
      <c r="DU46" s="24" t="n"/>
      <c r="DV46" s="24">
        <f>SUM(BC46:DS46)</f>
        <v/>
      </c>
      <c r="DW46" s="24">
        <f>DV46*AU46</f>
        <v/>
      </c>
      <c r="DX46" s="24">
        <f>DV46*AR46*AT46*AU46/12</f>
        <v/>
      </c>
      <c r="DY46" s="7">
        <f>DX46*AY46/1000</f>
        <v/>
      </c>
      <c r="DZ46" s="23">
        <f>DY46*1.07</f>
        <v/>
      </c>
      <c r="EA46" s="22">
        <f>IFERROR(DY46/AZ46,0)</f>
        <v/>
      </c>
      <c r="EB46" s="24" t="n"/>
      <c r="EC46" s="24" t="n"/>
      <c r="ED46" s="24" t="n"/>
      <c r="EE46" s="24">
        <f>IF(EB46&lt;&gt;"",EB46*ED46,0)</f>
        <v/>
      </c>
      <c r="EF46" s="24">
        <f>DV46-EE46</f>
        <v/>
      </c>
      <c r="EG46" s="24">
        <f>EF46*AU46</f>
        <v/>
      </c>
      <c r="EH46" s="24">
        <f>(EF46*AR46*AT46*AU46)/12</f>
        <v/>
      </c>
      <c r="EI46" s="24">
        <f>IFERROR(EH46/DV46,0)</f>
        <v/>
      </c>
      <c r="EJ46" s="24">
        <f>IFERROR(EH46*AY46/1000,0)</f>
        <v/>
      </c>
      <c r="EK46" s="24">
        <f>EJ46*1.07</f>
        <v/>
      </c>
      <c r="EL46" s="24" t="n"/>
      <c r="EM46" s="24" t="n"/>
    </row>
    <row r="47" ht="11.65" customFormat="1" customHeight="1" s="12">
      <c r="A47" s="85" t="n"/>
      <c r="B47" s="30" t="n"/>
      <c r="C47" s="30" t="n">
        <v>-131</v>
      </c>
      <c r="D47" s="30" t="n"/>
      <c r="E47" s="30" t="n"/>
      <c r="F47" s="30" t="n"/>
      <c r="G47" s="30" t="n"/>
      <c r="H47" s="30" t="n"/>
      <c r="I47" s="30" t="n"/>
      <c r="J47" s="30" t="n"/>
      <c r="K47" s="30" t="n">
        <v>131</v>
      </c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24" t="n"/>
      <c r="AP47" s="24">
        <f>SUM(D47:AO47)</f>
        <v/>
      </c>
      <c r="AQ47" s="24">
        <f>SUM(B47:AO47)</f>
        <v/>
      </c>
      <c r="AR47" s="30" t="n">
        <v>2</v>
      </c>
      <c r="AS47" s="29" t="inlineStr">
        <is>
          <t>x</t>
        </is>
      </c>
      <c r="AT47" s="30" t="n">
        <v>4</v>
      </c>
      <c r="AU47" s="30" t="n">
        <v>16</v>
      </c>
      <c r="AV47" s="29" t="inlineStr">
        <is>
          <t>SYP#2 PET</t>
        </is>
      </c>
      <c r="AW47" s="24">
        <f>AQ47*AU47</f>
        <v/>
      </c>
      <c r="AX47" s="84">
        <f>(AQ47*AR47*AT47*AU47)/12</f>
        <v/>
      </c>
      <c r="AY47" s="62" t="n">
        <v>635</v>
      </c>
      <c r="AZ47" s="7">
        <f>(AX47*AY47)/1000</f>
        <v/>
      </c>
      <c r="BA47" s="83">
        <f>AZ47*1.06</f>
        <v/>
      </c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n"/>
      <c r="DR47" s="24" t="n"/>
      <c r="DS47" s="24" t="n"/>
      <c r="DT47" s="24" t="n"/>
      <c r="DU47" s="24" t="n"/>
      <c r="DV47" s="24">
        <f>SUM(BC47:DU47)</f>
        <v/>
      </c>
      <c r="DW47" s="24">
        <f>DV47*AU47</f>
        <v/>
      </c>
      <c r="DX47" s="24">
        <f>DV47*AR47*AT47*AU47/12</f>
        <v/>
      </c>
      <c r="DY47" s="7">
        <f>DX47*AY47/1000</f>
        <v/>
      </c>
      <c r="DZ47" s="23">
        <f>DY47*1.06</f>
        <v/>
      </c>
      <c r="EA47" s="22">
        <f>IFERROR(DY47/AZ47,0)</f>
        <v/>
      </c>
      <c r="EB47" s="24" t="n"/>
      <c r="EC47" s="24" t="n"/>
      <c r="ED47" s="24" t="n"/>
      <c r="EE47" s="24" t="n"/>
      <c r="EF47" s="24" t="n"/>
      <c r="EG47" s="24" t="n"/>
      <c r="EH47" s="24" t="n"/>
      <c r="EI47" s="24" t="n"/>
      <c r="EJ47" s="24" t="n"/>
      <c r="EK47" s="24" t="n"/>
      <c r="EL47" s="24" t="n"/>
      <c r="EM47" s="24" t="n"/>
    </row>
    <row r="48" ht="11.65" customFormat="1" customHeight="1" s="12">
      <c r="A48" s="85" t="n"/>
      <c r="B48" s="30" t="n"/>
      <c r="C48" s="30" t="n">
        <v>-53</v>
      </c>
      <c r="D48" s="30" t="n"/>
      <c r="E48" s="30" t="n"/>
      <c r="F48" s="30" t="n"/>
      <c r="G48" s="30" t="n"/>
      <c r="H48" s="30" t="n"/>
      <c r="I48" s="30" t="n"/>
      <c r="J48" s="30" t="n"/>
      <c r="K48" s="30" t="n">
        <v>53</v>
      </c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  <c r="AE48" s="30" t="n"/>
      <c r="AF48" s="30" t="n"/>
      <c r="AG48" s="30" t="n"/>
      <c r="AH48" s="30" t="n"/>
      <c r="AI48" s="30" t="n"/>
      <c r="AJ48" s="30" t="n"/>
      <c r="AK48" s="30" t="n"/>
      <c r="AL48" s="30" t="n"/>
      <c r="AM48" s="30" t="n"/>
      <c r="AN48" s="30" t="n"/>
      <c r="AO48" s="24" t="n"/>
      <c r="AP48" s="24">
        <f>SUM(D48:AO48)</f>
        <v/>
      </c>
      <c r="AQ48" s="24">
        <f>SUM(B48:AO48)</f>
        <v/>
      </c>
      <c r="AR48" s="30" t="n">
        <v>2</v>
      </c>
      <c r="AS48" s="29" t="inlineStr">
        <is>
          <t>x</t>
        </is>
      </c>
      <c r="AT48" s="30" t="n">
        <v>4</v>
      </c>
      <c r="AU48" s="30" t="n">
        <v>18</v>
      </c>
      <c r="AV48" s="29" t="inlineStr">
        <is>
          <t>SYP#2 PET</t>
        </is>
      </c>
      <c r="AW48" s="24">
        <f>AQ48*AU48</f>
        <v/>
      </c>
      <c r="AX48" s="84">
        <f>(AQ48*AR48*AT48*AU48)/12</f>
        <v/>
      </c>
      <c r="AY48" s="62" t="n">
        <v>685</v>
      </c>
      <c r="AZ48" s="7">
        <f>(AX48*AY48)/1000</f>
        <v/>
      </c>
      <c r="BA48" s="83">
        <f>AZ48*1.06</f>
        <v/>
      </c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  <c r="DQ48" s="24" t="n"/>
      <c r="DR48" s="24" t="n"/>
      <c r="DS48" s="24" t="n"/>
      <c r="DT48" s="24" t="n"/>
      <c r="DU48" s="24" t="n"/>
      <c r="DV48" s="24">
        <f>SUM(BC48:DU48)</f>
        <v/>
      </c>
      <c r="DW48" s="24">
        <f>DV48*AU48</f>
        <v/>
      </c>
      <c r="DX48" s="24">
        <f>DV48*AR48*AT48*AU48/12</f>
        <v/>
      </c>
      <c r="DY48" s="7">
        <f>DX48*AY48/1000</f>
        <v/>
      </c>
      <c r="DZ48" s="23">
        <f>DY48*1.06</f>
        <v/>
      </c>
      <c r="EA48" s="22">
        <f>IFERROR(DY48/AZ48,0)</f>
        <v/>
      </c>
      <c r="EB48" s="24" t="n"/>
      <c r="EC48" s="24" t="n"/>
      <c r="ED48" s="24" t="n"/>
      <c r="EE48" s="24" t="n"/>
      <c r="EF48" s="24" t="n"/>
      <c r="EG48" s="24" t="n"/>
      <c r="EH48" s="24" t="n"/>
      <c r="EI48" s="24" t="n"/>
      <c r="EJ48" s="24" t="n"/>
      <c r="EK48" s="24" t="n"/>
      <c r="EL48" s="24" t="n"/>
      <c r="EM48" s="24" t="n"/>
    </row>
    <row r="49" ht="11.65" customFormat="1" customHeight="1" s="12">
      <c r="A49" s="85" t="inlineStr">
        <is>
          <t>Lumber</t>
        </is>
      </c>
      <c r="B49" s="30" t="n">
        <v>379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>
        <v>-379</v>
      </c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24" t="n"/>
      <c r="AP49" s="24">
        <f>SUM(D49:AO49)</f>
        <v/>
      </c>
      <c r="AQ49" s="24">
        <f>SUM(B49:AO49)</f>
        <v/>
      </c>
      <c r="AR49" s="30" t="n">
        <v>2</v>
      </c>
      <c r="AS49" s="29" t="inlineStr">
        <is>
          <t>x</t>
        </is>
      </c>
      <c r="AT49" s="30" t="n">
        <v>6</v>
      </c>
      <c r="AU49" s="30" t="n">
        <v>8</v>
      </c>
      <c r="AV49" s="29" t="inlineStr">
        <is>
          <t>SYP#2 PET</t>
        </is>
      </c>
      <c r="AW49" s="24">
        <f>AQ49*AU49</f>
        <v/>
      </c>
      <c r="AX49" s="84">
        <f>(AQ49*AR49*AT49*AU49)/12</f>
        <v/>
      </c>
      <c r="AY49" s="62" t="n">
        <v>635</v>
      </c>
      <c r="AZ49" s="7">
        <f>(AX49*AY49)/1000</f>
        <v/>
      </c>
      <c r="BA49" s="83">
        <f>AZ49*1.06</f>
        <v/>
      </c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n"/>
      <c r="DR49" s="24" t="n"/>
      <c r="DS49" s="24" t="n"/>
      <c r="DT49" s="24" t="n"/>
      <c r="DU49" s="24" t="n"/>
      <c r="DV49" s="24">
        <f>SUM(BC49:DS49)</f>
        <v/>
      </c>
      <c r="DW49" s="24">
        <f>DV49*AU49</f>
        <v/>
      </c>
      <c r="DX49" s="24">
        <f>DV49*AR49*AT49*AU49/12</f>
        <v/>
      </c>
      <c r="DY49" s="7">
        <f>DX49*AY49/1000</f>
        <v/>
      </c>
      <c r="DZ49" s="23">
        <f>DY49*1.07</f>
        <v/>
      </c>
      <c r="EA49" s="22">
        <f>IFERROR(DY49/AZ49,0)</f>
        <v/>
      </c>
      <c r="EB49" s="24" t="n"/>
      <c r="EC49" s="24" t="n"/>
      <c r="ED49" s="24" t="n"/>
      <c r="EE49" s="24">
        <f>IF(EB49&lt;&gt;"",EB49*ED49,0)</f>
        <v/>
      </c>
      <c r="EF49" s="24">
        <f>DV49-EE49</f>
        <v/>
      </c>
      <c r="EG49" s="24">
        <f>EF49*AU49</f>
        <v/>
      </c>
      <c r="EH49" s="24">
        <f>(EF49*AR49*AT49*AU49)/12</f>
        <v/>
      </c>
      <c r="EI49" s="24">
        <f>IFERROR(EH49/DV49,0)</f>
        <v/>
      </c>
      <c r="EJ49" s="24">
        <f>IFERROR(EH49*AY49/1000,0)</f>
        <v/>
      </c>
      <c r="EK49" s="24">
        <f>EJ49*1.07</f>
        <v/>
      </c>
      <c r="EL49" s="24" t="n"/>
      <c r="EM49" s="24" t="n"/>
    </row>
    <row r="50" ht="11.65" customFormat="1" customHeight="1" s="12">
      <c r="A50" s="85" t="n"/>
      <c r="B50" s="30" t="n"/>
      <c r="C50" s="30" t="n">
        <v>-273</v>
      </c>
      <c r="D50" s="30" t="n"/>
      <c r="E50" s="30" t="n"/>
      <c r="F50" s="30" t="n"/>
      <c r="G50" s="30" t="n"/>
      <c r="H50" s="30" t="n"/>
      <c r="I50" s="30" t="n"/>
      <c r="J50" s="30" t="n"/>
      <c r="K50" s="30" t="n">
        <v>273</v>
      </c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30" t="n"/>
      <c r="AD50" s="30" t="n"/>
      <c r="AE50" s="30" t="n"/>
      <c r="AF50" s="30" t="n"/>
      <c r="AG50" s="30" t="n"/>
      <c r="AH50" s="30" t="n"/>
      <c r="AI50" s="30" t="n"/>
      <c r="AJ50" s="30" t="n"/>
      <c r="AK50" s="30" t="n"/>
      <c r="AL50" s="30" t="n"/>
      <c r="AM50" s="30" t="n"/>
      <c r="AN50" s="30" t="n"/>
      <c r="AO50" s="24" t="n"/>
      <c r="AP50" s="24">
        <f>SUM(D50:AO50)</f>
        <v/>
      </c>
      <c r="AQ50" s="24">
        <f>SUM(B50:AO50)</f>
        <v/>
      </c>
      <c r="AR50" s="30" t="n">
        <v>2</v>
      </c>
      <c r="AS50" s="29" t="inlineStr">
        <is>
          <t>x</t>
        </is>
      </c>
      <c r="AT50" s="30" t="n">
        <v>6</v>
      </c>
      <c r="AU50" s="30" t="n">
        <v>16</v>
      </c>
      <c r="AV50" s="29" t="inlineStr">
        <is>
          <t>SYP#2 PET</t>
        </is>
      </c>
      <c r="AW50" s="24">
        <f>AQ50*AU50</f>
        <v/>
      </c>
      <c r="AX50" s="84">
        <f>(AQ50*AR50*AT50*AU50)/12</f>
        <v/>
      </c>
      <c r="AY50" s="62" t="n">
        <v>695</v>
      </c>
      <c r="AZ50" s="7">
        <f>(AX50*AY50)/1000</f>
        <v/>
      </c>
      <c r="BA50" s="83">
        <f>AZ50*1.06</f>
        <v/>
      </c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n"/>
      <c r="DR50" s="24" t="n"/>
      <c r="DS50" s="24" t="n"/>
      <c r="DT50" s="24" t="n"/>
      <c r="DU50" s="24" t="n"/>
      <c r="DV50" s="24">
        <f>SUM(BC50:DU50)</f>
        <v/>
      </c>
      <c r="DW50" s="24">
        <f>DV50*AU50</f>
        <v/>
      </c>
      <c r="DX50" s="24">
        <f>DV50*AR50*AT50*AU50/12</f>
        <v/>
      </c>
      <c r="DY50" s="7">
        <f>DX50*AY50/1000</f>
        <v/>
      </c>
      <c r="DZ50" s="23">
        <f>DY50*1.06</f>
        <v/>
      </c>
      <c r="EA50" s="22">
        <f>IFERROR(DY50/AZ50,0)</f>
        <v/>
      </c>
      <c r="EB50" s="24" t="n"/>
      <c r="EC50" s="24" t="n"/>
      <c r="ED50" s="24" t="n"/>
      <c r="EE50" s="24" t="n"/>
      <c r="EF50" s="24" t="n"/>
      <c r="EG50" s="24" t="n"/>
      <c r="EH50" s="24" t="n"/>
      <c r="EI50" s="24" t="n"/>
      <c r="EJ50" s="24" t="n"/>
      <c r="EK50" s="24" t="n"/>
      <c r="EL50" s="24" t="n"/>
      <c r="EM50" s="24" t="n"/>
    </row>
    <row r="51" ht="11.65" customFormat="1" customHeight="1" s="12">
      <c r="A51" s="85" t="inlineStr">
        <is>
          <t>Lumber</t>
        </is>
      </c>
      <c r="B51" s="30" t="n">
        <v>31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>
        <v>-31</v>
      </c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0" t="n"/>
      <c r="AJ51" s="30" t="n"/>
      <c r="AK51" s="30" t="n"/>
      <c r="AL51" s="30" t="n"/>
      <c r="AM51" s="30" t="n"/>
      <c r="AN51" s="30" t="n"/>
      <c r="AO51" s="24" t="n"/>
      <c r="AP51" s="24">
        <f>SUM(D51:AO51)</f>
        <v/>
      </c>
      <c r="AQ51" s="24">
        <f>SUM(B51:AO51)</f>
        <v/>
      </c>
      <c r="AR51" s="30" t="n">
        <v>2</v>
      </c>
      <c r="AS51" s="29" t="inlineStr">
        <is>
          <t>x</t>
        </is>
      </c>
      <c r="AT51" s="30" t="n">
        <v>6</v>
      </c>
      <c r="AU51" s="30" t="n">
        <v>18</v>
      </c>
      <c r="AV51" s="29" t="inlineStr">
        <is>
          <t>SYP#2 PET</t>
        </is>
      </c>
      <c r="AW51" s="24">
        <f>AQ51*AU51</f>
        <v/>
      </c>
      <c r="AX51" s="84">
        <f>(AQ51*AR51*AT51*AU51)/12</f>
        <v/>
      </c>
      <c r="AY51" s="62" t="n">
        <v>635</v>
      </c>
      <c r="AZ51" s="7">
        <f>(AX51*AY51)/1000</f>
        <v/>
      </c>
      <c r="BA51" s="83">
        <f>AZ51*1.06</f>
        <v/>
      </c>
      <c r="BB51" s="24" t="n"/>
      <c r="BC51" s="24" t="n"/>
      <c r="BD51" s="24" t="n"/>
      <c r="BE51" s="24" t="n"/>
      <c r="BF51" s="24" t="n"/>
      <c r="BG51" s="24" t="n"/>
      <c r="BH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  <c r="DQ51" s="24" t="n"/>
      <c r="DR51" s="24" t="n"/>
      <c r="DS51" s="24" t="n"/>
      <c r="DT51" s="24" t="n"/>
      <c r="DU51" s="24" t="n"/>
      <c r="DV51" s="24">
        <f>SUM(BC51:DS51)</f>
        <v/>
      </c>
      <c r="DW51" s="24">
        <f>DV51*AU51</f>
        <v/>
      </c>
      <c r="DX51" s="24">
        <f>DV51*AR51*AT51*AU51/12</f>
        <v/>
      </c>
      <c r="DY51" s="7">
        <f>DX51*AY51/1000</f>
        <v/>
      </c>
      <c r="DZ51" s="23">
        <f>DY51*1.07</f>
        <v/>
      </c>
      <c r="EA51" s="22">
        <f>IFERROR(DY51/AZ51,0)</f>
        <v/>
      </c>
      <c r="EB51" s="24" t="n"/>
      <c r="EC51" s="24" t="n"/>
      <c r="ED51" s="24" t="n"/>
      <c r="EE51" s="24">
        <f>IF(EB51&lt;&gt;"",EB51*ED51,0)</f>
        <v/>
      </c>
      <c r="EF51" s="24">
        <f>DV51-EE51</f>
        <v/>
      </c>
      <c r="EG51" s="24">
        <f>EF51*AU51</f>
        <v/>
      </c>
      <c r="EH51" s="24">
        <f>(EF51*AR51*AT51*AU51)/12</f>
        <v/>
      </c>
      <c r="EI51" s="24">
        <f>IFERROR(EH51/DV51,0)</f>
        <v/>
      </c>
      <c r="EJ51" s="24">
        <f>IFERROR(EH51*AY51/1000,0)</f>
        <v/>
      </c>
      <c r="EK51" s="24">
        <f>EJ51*1.07</f>
        <v/>
      </c>
      <c r="EL51" s="24" t="n"/>
      <c r="EM51" s="24" t="n"/>
    </row>
    <row r="52" ht="11.65" customFormat="1" customHeight="1" s="12">
      <c r="A52" s="85" t="n"/>
      <c r="B52" s="30" t="n"/>
      <c r="C52" s="30">
        <f>-93-114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>
        <v>207</v>
      </c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0" t="n"/>
      <c r="AK52" s="30" t="n"/>
      <c r="AL52" s="30" t="n"/>
      <c r="AM52" s="30" t="n"/>
      <c r="AN52" s="30" t="n"/>
      <c r="AO52" s="24" t="n"/>
      <c r="AP52" s="24">
        <f>SUM(D52:AO52)</f>
        <v/>
      </c>
      <c r="AQ52" s="24">
        <f>SUM(B52:AO52)</f>
        <v/>
      </c>
      <c r="AR52" s="30" t="n">
        <v>2</v>
      </c>
      <c r="AS52" s="29" t="inlineStr">
        <is>
          <t>x</t>
        </is>
      </c>
      <c r="AT52" s="30" t="n">
        <v>6</v>
      </c>
      <c r="AU52" s="30" t="n">
        <v>18</v>
      </c>
      <c r="AV52" s="29" t="inlineStr">
        <is>
          <t>SYP#2 PET</t>
        </is>
      </c>
      <c r="AW52" s="24">
        <f>AQ52*AU52</f>
        <v/>
      </c>
      <c r="AX52" s="84">
        <f>(AQ52*AR52*AT52*AU52)/12</f>
        <v/>
      </c>
      <c r="AY52" s="62" t="n">
        <v>695</v>
      </c>
      <c r="AZ52" s="7">
        <f>(AX52*AY52)/1000</f>
        <v/>
      </c>
      <c r="BA52" s="83">
        <f>AZ52*1.06</f>
        <v/>
      </c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n"/>
      <c r="DK52" s="24" t="n"/>
      <c r="DL52" s="24" t="n"/>
      <c r="DM52" s="24" t="n"/>
      <c r="DN52" s="24" t="n"/>
      <c r="DO52" s="24" t="n"/>
      <c r="DP52" s="24" t="n"/>
      <c r="DQ52" s="24" t="n"/>
      <c r="DR52" s="24" t="n"/>
      <c r="DS52" s="24" t="n"/>
      <c r="DT52" s="24" t="n"/>
      <c r="DU52" s="24" t="n"/>
      <c r="DV52" s="24">
        <f>SUM(BC52:DU52)</f>
        <v/>
      </c>
      <c r="DW52" s="24">
        <f>DV52*AU52</f>
        <v/>
      </c>
      <c r="DX52" s="24">
        <f>DV52*AR52*AT52*AU52/12</f>
        <v/>
      </c>
      <c r="DY52" s="7">
        <f>DX52*AY52/1000</f>
        <v/>
      </c>
      <c r="DZ52" s="23">
        <f>DY52*1.06</f>
        <v/>
      </c>
      <c r="EA52" s="22">
        <f>IFERROR(DY52/AZ52,0)</f>
        <v/>
      </c>
      <c r="EB52" s="24" t="n"/>
      <c r="EC52" s="24" t="n"/>
      <c r="ED52" s="24" t="n"/>
      <c r="EE52" s="24" t="n"/>
      <c r="EF52" s="24" t="n"/>
      <c r="EG52" s="24" t="n"/>
      <c r="EH52" s="24" t="n"/>
      <c r="EI52" s="24" t="n"/>
      <c r="EJ52" s="24" t="n"/>
      <c r="EK52" s="24" t="n"/>
      <c r="EL52" s="24" t="n"/>
      <c r="EM52" s="24" t="n"/>
    </row>
    <row r="53" ht="186" customFormat="1" customHeight="1" s="12">
      <c r="A53" s="134" t="inlineStr">
        <is>
          <t>Lumber</t>
        </is>
      </c>
      <c r="B53" s="354" t="n">
        <v>36046</v>
      </c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>
        <v>13407</v>
      </c>
      <c r="L53" s="354" t="n"/>
      <c r="M53" s="354" t="n"/>
      <c r="N53" s="354" t="n"/>
      <c r="O53" s="354" t="n"/>
      <c r="P53" s="354" t="n"/>
      <c r="Q53" s="354" t="n">
        <v>5288</v>
      </c>
      <c r="R53" s="354" t="n"/>
      <c r="S53" s="354" t="n"/>
      <c r="T53" s="354" t="n"/>
      <c r="U53" s="354" t="n"/>
      <c r="V53" s="354" t="n"/>
      <c r="W53" s="354" t="n"/>
      <c r="X53" s="354" t="n"/>
      <c r="Y53" s="354" t="n"/>
      <c r="Z53" s="354" t="n"/>
      <c r="AA53" s="354" t="n"/>
      <c r="AB53" s="354" t="n">
        <v>5163</v>
      </c>
      <c r="AC53" s="354" t="n"/>
      <c r="AD53" s="354" t="n"/>
      <c r="AE53" s="354" t="n">
        <v>4160</v>
      </c>
      <c r="AF53" s="354" t="n"/>
      <c r="AG53" s="354" t="n"/>
      <c r="AH53" s="354" t="n"/>
      <c r="AI53" s="354" t="n"/>
      <c r="AJ53" s="354" t="n"/>
      <c r="AK53" s="354" t="n"/>
      <c r="AL53" s="354" t="n"/>
      <c r="AM53" s="354" t="n"/>
      <c r="AN53" s="354" t="n"/>
      <c r="AO53" s="34" t="n"/>
      <c r="AP53" s="34">
        <f>SUM(D53:AO53)</f>
        <v/>
      </c>
      <c r="AQ53" s="34">
        <f>SUM(B53:AO53)</f>
        <v/>
      </c>
      <c r="AR53" s="354" t="n">
        <v>2</v>
      </c>
      <c r="AS53" s="356" t="inlineStr">
        <is>
          <t>x</t>
        </is>
      </c>
      <c r="AT53" s="354" t="n">
        <v>4</v>
      </c>
      <c r="AU53" s="354" t="n">
        <v>9</v>
      </c>
      <c r="AV53" s="356" t="inlineStr">
        <is>
          <t>SYP#2 PET 104-5/8</t>
        </is>
      </c>
      <c r="AW53" s="34">
        <f>AQ53*AU53</f>
        <v/>
      </c>
      <c r="AX53" s="102">
        <f>(AQ53*AR53*AT53*AU53)/12</f>
        <v/>
      </c>
      <c r="AY53" s="57" t="n">
        <v>635</v>
      </c>
      <c r="AZ53" s="14">
        <f>(AX53*AY53)/1000</f>
        <v/>
      </c>
      <c r="BA53" s="133">
        <f>AZ53*1.06</f>
        <v/>
      </c>
      <c r="BB53" s="58" t="inlineStr">
        <is>
          <t>68981018 68981169 68981091 68981150 68981161
68981109
68981019
68981033
68981057
68981059
68981079
68981092
68981108
68981072
68981127
68981126</t>
        </is>
      </c>
      <c r="BC53" s="56" t="n"/>
      <c r="BD53" s="56" t="n"/>
      <c r="BE53" s="56" t="n"/>
      <c r="BF53" s="34" t="n"/>
      <c r="BG53" s="34" t="n"/>
      <c r="BH53" s="34">
        <f>3744+4160</f>
        <v/>
      </c>
      <c r="BI53" s="34" t="n"/>
      <c r="BJ53" s="34" t="n"/>
      <c r="BK53" s="34" t="n"/>
      <c r="BL53" s="34" t="n">
        <v>7488</v>
      </c>
      <c r="BM53" s="34" t="n"/>
      <c r="BN53" s="34" t="n"/>
      <c r="BO53" s="34" t="n"/>
      <c r="BP53" s="34" t="n"/>
      <c r="BQ53" s="34" t="n"/>
      <c r="BR53" s="34" t="n"/>
      <c r="BS53" s="34" t="n"/>
      <c r="BT53" s="34">
        <f>3744</f>
        <v/>
      </c>
      <c r="BU53" s="34" t="n"/>
      <c r="BV53" s="34" t="n"/>
      <c r="BW53" s="34">
        <f>3744</f>
        <v/>
      </c>
      <c r="BX53" s="34" t="n"/>
      <c r="BY53" s="34">
        <f>4160</f>
        <v/>
      </c>
      <c r="BZ53" s="34">
        <f>3744</f>
        <v/>
      </c>
      <c r="CA53" s="34">
        <f>4160</f>
        <v/>
      </c>
      <c r="CB53" s="34">
        <f>4160</f>
        <v/>
      </c>
      <c r="CC53" s="34" t="n"/>
      <c r="CD53" s="34" t="n"/>
      <c r="CE53" s="132" t="n"/>
      <c r="CF53" s="34" t="n"/>
      <c r="CG53" s="34" t="n"/>
      <c r="CH53" s="34" t="n"/>
      <c r="CI53" s="34" t="n"/>
      <c r="CJ53" s="34" t="n"/>
      <c r="CK53" s="34" t="n"/>
      <c r="CL53" s="34">
        <f>4160</f>
        <v/>
      </c>
      <c r="CM53" s="34">
        <f>4160</f>
        <v/>
      </c>
      <c r="CN53" s="34" t="n"/>
      <c r="CO53" s="34" t="n"/>
      <c r="CP53" s="34" t="n"/>
      <c r="CQ53" s="34" t="n"/>
      <c r="CR53" s="34" t="n"/>
      <c r="CS53" s="34" t="n"/>
      <c r="CT53" s="34" t="n"/>
      <c r="CU53" s="34">
        <f>3744</f>
        <v/>
      </c>
      <c r="CV53" s="34" t="n"/>
      <c r="CW53" s="34">
        <f>4160</f>
        <v/>
      </c>
      <c r="CX53" s="34" t="n"/>
      <c r="CY53" s="34" t="n"/>
      <c r="CZ53" s="34" t="n"/>
      <c r="DA53" s="34" t="n"/>
      <c r="DB53" s="34" t="n"/>
      <c r="DC53" s="34">
        <f>4160</f>
        <v/>
      </c>
      <c r="DD53" s="34" t="n"/>
      <c r="DE53" s="34" t="n"/>
      <c r="DF53" s="34" t="n"/>
      <c r="DG53" s="34">
        <f>4160</f>
        <v/>
      </c>
      <c r="DH53" s="34" t="n"/>
      <c r="DI53" s="34" t="n"/>
      <c r="DJ53" s="34" t="n"/>
      <c r="DK53" s="34" t="n"/>
      <c r="DL53" s="34" t="n"/>
      <c r="DM53" s="34" t="n"/>
      <c r="DN53" s="34" t="n"/>
      <c r="DO53" s="34" t="n"/>
      <c r="DP53" s="34" t="n"/>
      <c r="DQ53" s="34" t="n"/>
      <c r="DR53" s="34" t="n"/>
      <c r="DS53" s="34" t="n"/>
      <c r="DT53" s="34" t="n"/>
      <c r="DU53" s="34" t="n"/>
      <c r="DV53" s="34">
        <f>SUM(BC53:DS53)</f>
        <v/>
      </c>
      <c r="DW53" s="34">
        <f>DV53*AU53</f>
        <v/>
      </c>
      <c r="DX53" s="34">
        <f>DV53*AR53*AT53*AU53/12</f>
        <v/>
      </c>
      <c r="DY53" s="14">
        <f>DX53*AY53/1000</f>
        <v/>
      </c>
      <c r="DZ53" s="60">
        <f>DY53*1.07</f>
        <v/>
      </c>
      <c r="EA53" s="32">
        <f>IFERROR(DY53/AZ53,0)</f>
        <v/>
      </c>
      <c r="EB53" s="34" t="n"/>
      <c r="EC53" s="34" t="n"/>
      <c r="ED53" s="34" t="n"/>
      <c r="EE53" s="34">
        <f>IF(EB53&lt;&gt;"",EB53*ED53,0)</f>
        <v/>
      </c>
      <c r="EF53" s="34">
        <f>DV53-EE53</f>
        <v/>
      </c>
      <c r="EG53" s="34">
        <f>EF53*AU53</f>
        <v/>
      </c>
      <c r="EH53" s="34">
        <f>(EF53*AR53*AT53*AU53)/12</f>
        <v/>
      </c>
      <c r="EI53" s="34">
        <f>IFERROR(EH53/DV53,0)</f>
        <v/>
      </c>
      <c r="EJ53" s="34">
        <f>IFERROR(EH53*AY53/1000,0)</f>
        <v/>
      </c>
      <c r="EK53" s="34">
        <f>EJ53*1.07</f>
        <v/>
      </c>
      <c r="EL53" s="34" t="n"/>
      <c r="EM53" s="34" t="n"/>
    </row>
    <row r="54" ht="225" customFormat="1" customHeight="1" s="12">
      <c r="A54" s="85" t="inlineStr">
        <is>
          <t>Lumber</t>
        </is>
      </c>
      <c r="B54" s="30" t="n">
        <v>17395</v>
      </c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>
        <v>42197</v>
      </c>
      <c r="L54" s="30" t="n"/>
      <c r="M54" s="30" t="n"/>
      <c r="N54" s="30" t="n"/>
      <c r="O54" s="30" t="n"/>
      <c r="P54" s="30" t="n"/>
      <c r="Q54" s="30" t="n">
        <v>-5288</v>
      </c>
      <c r="R54" s="30" t="n"/>
      <c r="S54" s="30" t="n"/>
      <c r="T54" s="30" t="n"/>
      <c r="U54" s="30" t="n"/>
      <c r="V54" s="30" t="n"/>
      <c r="W54" s="30" t="n"/>
      <c r="X54" s="30" t="n">
        <v>2400</v>
      </c>
      <c r="Y54" s="30" t="n"/>
      <c r="Z54" s="30" t="n"/>
      <c r="AA54" s="30" t="n"/>
      <c r="AB54" s="30" t="n">
        <v>2688</v>
      </c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30" t="n"/>
      <c r="AO54" s="24" t="n"/>
      <c r="AP54" s="24">
        <f>SUM(D54:AO54)</f>
        <v/>
      </c>
      <c r="AQ54" s="24">
        <f>SUM(B54:AO54)</f>
        <v/>
      </c>
      <c r="AR54" s="30" t="n">
        <v>2</v>
      </c>
      <c r="AS54" s="29" t="inlineStr">
        <is>
          <t>x</t>
        </is>
      </c>
      <c r="AT54" s="30" t="n">
        <v>6</v>
      </c>
      <c r="AU54" s="30" t="n">
        <v>9</v>
      </c>
      <c r="AV54" s="29" t="inlineStr">
        <is>
          <t>SYP#2 PET 104-5/8</t>
        </is>
      </c>
      <c r="AW54" s="24">
        <f>AQ54*AU54</f>
        <v/>
      </c>
      <c r="AX54" s="84">
        <f>(AQ54*AR54*AT54*AU54)/12</f>
        <v/>
      </c>
      <c r="AY54" s="62" t="n">
        <v>635</v>
      </c>
      <c r="AZ54" s="7">
        <f>(AX54*AY54)/1000</f>
        <v/>
      </c>
      <c r="BA54" s="83">
        <f>AZ54*1.06</f>
        <v/>
      </c>
      <c r="BB54" s="53" t="inlineStr">
        <is>
          <t xml:space="preserve"> 68981017 68981058 68981073 68981082 68981084 68981085 68981090 68981060 68981105 68981162 68981088 68981089 68981104
68981086
 68981023 
68981053
68981020
68981021
68981022
68981063
68981099
68981080
68981083
68981087</t>
        </is>
      </c>
      <c r="BC54" s="53" t="n"/>
      <c r="BD54" s="53" t="n"/>
      <c r="BE54" s="53" t="n"/>
      <c r="BF54" s="24" t="n"/>
      <c r="BG54" s="24" t="n"/>
      <c r="BH54" s="24">
        <f>1152+2560+2560+2304</f>
        <v/>
      </c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>
        <v>5120</v>
      </c>
      <c r="BT54" s="24" t="n"/>
      <c r="BU54" s="24">
        <f>2432+2560</f>
        <v/>
      </c>
      <c r="BV54" s="24" t="n"/>
      <c r="BW54" s="24" t="n"/>
      <c r="BX54" s="24">
        <f>2560</f>
        <v/>
      </c>
      <c r="BY54" s="24" t="n">
        <v>5120</v>
      </c>
      <c r="BZ54" s="24" t="n"/>
      <c r="CA54" s="24">
        <f>2432+2304</f>
        <v/>
      </c>
      <c r="CB54" s="24" t="n"/>
      <c r="CC54" s="24" t="n"/>
      <c r="CD54" s="24" t="n"/>
      <c r="CE54" s="24">
        <f>2560+2688</f>
        <v/>
      </c>
      <c r="CF54" s="24">
        <f>2560+2688</f>
        <v/>
      </c>
      <c r="CG54" s="24">
        <f>2560+2560+2304</f>
        <v/>
      </c>
      <c r="CH54" s="24" t="n"/>
      <c r="CI54" s="24" t="n"/>
      <c r="CJ54" s="131">
        <f>2560</f>
        <v/>
      </c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  <c r="CT54" s="24" t="n"/>
      <c r="CU54" s="24" t="n"/>
      <c r="CV54" s="24">
        <f>2688+2560</f>
        <v/>
      </c>
      <c r="CW54" s="24" t="n"/>
      <c r="CX54" s="24" t="n"/>
      <c r="CY54" s="24" t="n"/>
      <c r="CZ54" s="24" t="n"/>
      <c r="DA54" s="24" t="n"/>
      <c r="DB54" s="24" t="n"/>
      <c r="DC54" s="24" t="n"/>
      <c r="DD54" s="24">
        <f>2560</f>
        <v/>
      </c>
      <c r="DE54" s="24" t="n"/>
      <c r="DF54" s="24" t="n"/>
      <c r="DG54" s="24">
        <f>2688</f>
        <v/>
      </c>
      <c r="DH54" s="24">
        <f>2304</f>
        <v/>
      </c>
      <c r="DI54" s="24" t="n"/>
      <c r="DJ54" s="24" t="n"/>
      <c r="DK54" s="24" t="n"/>
      <c r="DL54" s="24" t="n"/>
      <c r="DM54" s="24" t="n"/>
      <c r="DN54" s="24" t="n"/>
      <c r="DO54" s="24" t="n"/>
      <c r="DP54" s="24" t="n"/>
      <c r="DQ54" s="24" t="n"/>
      <c r="DR54" s="24" t="n"/>
      <c r="DS54" s="24" t="n"/>
      <c r="DT54" s="24" t="n"/>
      <c r="DU54" s="24" t="n"/>
      <c r="DV54" s="24">
        <f>SUM(BC54:DS54)</f>
        <v/>
      </c>
      <c r="DW54" s="24">
        <f>DV54*AU54</f>
        <v/>
      </c>
      <c r="DX54" s="24">
        <f>DV54*AR54*AT54*AU54/12</f>
        <v/>
      </c>
      <c r="DY54" s="7">
        <f>DX54*AY54/1000</f>
        <v/>
      </c>
      <c r="DZ54" s="23">
        <f>DY54*1.07</f>
        <v/>
      </c>
      <c r="EA54" s="22">
        <f>IFERROR(DY54/AZ54,0)</f>
        <v/>
      </c>
      <c r="EB54" s="24" t="n"/>
      <c r="EC54" s="24" t="n"/>
      <c r="ED54" s="24" t="n"/>
      <c r="EE54" s="24">
        <f>IF(EB54&lt;&gt;"",EB54*ED54,0)</f>
        <v/>
      </c>
      <c r="EF54" s="24">
        <f>DV54-EE54</f>
        <v/>
      </c>
      <c r="EG54" s="24">
        <f>EF54*AU54</f>
        <v/>
      </c>
      <c r="EH54" s="24">
        <f>(EF54*AR54*AT54*AU54)/12</f>
        <v/>
      </c>
      <c r="EI54" s="24">
        <f>IFERROR(EH54/DV54,0)</f>
        <v/>
      </c>
      <c r="EJ54" s="24">
        <f>IFERROR(EH54*AY54/1000,0)</f>
        <v/>
      </c>
      <c r="EK54" s="24">
        <f>EJ54*1.07</f>
        <v/>
      </c>
      <c r="EL54" s="24" t="n"/>
      <c r="EM54" s="24" t="n"/>
    </row>
    <row r="55" ht="11.65" customFormat="1" customHeight="1" s="12">
      <c r="A55" s="85" t="n"/>
      <c r="B55" s="30" t="n"/>
      <c r="C55" s="30" t="n"/>
      <c r="D55" s="30" t="n">
        <v>128</v>
      </c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  <c r="AO55" s="24" t="n"/>
      <c r="AP55" s="24">
        <f>SUM(D55:AO55)</f>
        <v/>
      </c>
      <c r="AQ55" s="24">
        <f>SUM(B55:AO55)</f>
        <v/>
      </c>
      <c r="AR55" s="30" t="n">
        <v>2</v>
      </c>
      <c r="AS55" s="29" t="inlineStr">
        <is>
          <t>x</t>
        </is>
      </c>
      <c r="AT55" s="30" t="n">
        <v>6</v>
      </c>
      <c r="AU55" s="30" t="n">
        <v>9</v>
      </c>
      <c r="AV55" s="29" t="inlineStr">
        <is>
          <t>SYP#2 PET 104-5/8</t>
        </is>
      </c>
      <c r="AW55" s="24">
        <f>AQ55*AU55</f>
        <v/>
      </c>
      <c r="AX55" s="84">
        <f>(AQ55*AR55*AT55*AU55)/12</f>
        <v/>
      </c>
      <c r="AY55" s="62" t="n">
        <v>650</v>
      </c>
      <c r="AZ55" s="7">
        <f>(AX55*AY55)/1000</f>
        <v/>
      </c>
      <c r="BA55" s="83">
        <f>AZ55*1.06</f>
        <v/>
      </c>
      <c r="BB55" s="53" t="n"/>
      <c r="BC55" s="53" t="n"/>
      <c r="BD55" s="53" t="n"/>
      <c r="BE55" s="53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n"/>
      <c r="DK55" s="24" t="n"/>
      <c r="DL55" s="24" t="n"/>
      <c r="DM55" s="24" t="n"/>
      <c r="DN55" s="24" t="n"/>
      <c r="DO55" s="24" t="n"/>
      <c r="DP55" s="24" t="n"/>
      <c r="DQ55" s="24" t="n"/>
      <c r="DR55" s="24" t="n"/>
      <c r="DS55" s="24" t="n"/>
      <c r="DT55" s="24" t="n"/>
      <c r="DU55" s="24" t="n"/>
      <c r="DV55" s="24">
        <f>SUM(BC55:DU55)</f>
        <v/>
      </c>
      <c r="DW55" s="24">
        <f>DV55*AU55</f>
        <v/>
      </c>
      <c r="DX55" s="24">
        <f>DV55*AR55*AT55*AU55/12</f>
        <v/>
      </c>
      <c r="DY55" s="7">
        <f>DX55*AY55/1000</f>
        <v/>
      </c>
      <c r="DZ55" s="23">
        <f>DY55*1.06</f>
        <v/>
      </c>
      <c r="EA55" s="22">
        <f>IFERROR(DY55/AZ55,0)</f>
        <v/>
      </c>
      <c r="EB55" s="24" t="n"/>
      <c r="EC55" s="24" t="n"/>
      <c r="ED55" s="24" t="n"/>
      <c r="EE55" s="24" t="n"/>
      <c r="EF55" s="24" t="n"/>
      <c r="EG55" s="24" t="n"/>
      <c r="EH55" s="24" t="n"/>
      <c r="EI55" s="24" t="n"/>
      <c r="EJ55" s="24" t="n"/>
      <c r="EK55" s="24" t="n"/>
      <c r="EL55" s="24" t="n"/>
      <c r="EM55" s="24" t="n"/>
    </row>
    <row r="56" ht="11.65" customFormat="1" customHeight="1" s="12">
      <c r="A56" s="85" t="inlineStr">
        <is>
          <t>Lumber</t>
        </is>
      </c>
      <c r="B56" s="30" t="n">
        <v>5099</v>
      </c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>
        <v>-5099</v>
      </c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0" t="n"/>
      <c r="AC56" s="30" t="n"/>
      <c r="AD56" s="30" t="n"/>
      <c r="AE56" s="30" t="n"/>
      <c r="AF56" s="30" t="n"/>
      <c r="AG56" s="30" t="n"/>
      <c r="AH56" s="30" t="n"/>
      <c r="AI56" s="30" t="n"/>
      <c r="AJ56" s="30" t="n"/>
      <c r="AK56" s="30" t="n"/>
      <c r="AL56" s="30" t="n"/>
      <c r="AM56" s="30" t="n"/>
      <c r="AN56" s="30" t="n"/>
      <c r="AO56" s="24" t="n"/>
      <c r="AP56" s="24">
        <f>SUM(D56:AO56)</f>
        <v/>
      </c>
      <c r="AQ56" s="24">
        <f>SUM(B56:AO56)</f>
        <v/>
      </c>
      <c r="AR56" s="30" t="n">
        <v>2</v>
      </c>
      <c r="AS56" s="29" t="inlineStr">
        <is>
          <t>x</t>
        </is>
      </c>
      <c r="AT56" s="30" t="n">
        <v>6</v>
      </c>
      <c r="AU56" s="30" t="n">
        <v>9</v>
      </c>
      <c r="AV56" s="29" t="inlineStr">
        <is>
          <t>SYP#2 PET 104-5/8 - PT</t>
        </is>
      </c>
      <c r="AW56" s="24">
        <f>AQ56*AU56</f>
        <v/>
      </c>
      <c r="AX56" s="84">
        <f>(AQ56*AR56*AT56*AU56)/12</f>
        <v/>
      </c>
      <c r="AY56" s="62" t="n">
        <v>755</v>
      </c>
      <c r="AZ56" s="7">
        <f>(AX56*AY56)/1000</f>
        <v/>
      </c>
      <c r="BA56" s="83">
        <f>AZ56*1.06</f>
        <v/>
      </c>
      <c r="BB56" s="53" t="n"/>
      <c r="BC56" s="53" t="n"/>
      <c r="BD56" s="53" t="n"/>
      <c r="BE56" s="53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n"/>
      <c r="DK56" s="24" t="n"/>
      <c r="DL56" s="24" t="n"/>
      <c r="DM56" s="24" t="n"/>
      <c r="DN56" s="24" t="n"/>
      <c r="DO56" s="24" t="n"/>
      <c r="DP56" s="24" t="n"/>
      <c r="DQ56" s="24" t="n"/>
      <c r="DR56" s="24" t="n"/>
      <c r="DS56" s="24" t="n"/>
      <c r="DT56" s="24" t="n"/>
      <c r="DU56" s="24" t="n"/>
      <c r="DV56" s="24">
        <f>SUM(BC56:DS56)</f>
        <v/>
      </c>
      <c r="DW56" s="24">
        <f>DV56*AU56</f>
        <v/>
      </c>
      <c r="DX56" s="24">
        <f>DV56*AR56*AT56*AU56/12</f>
        <v/>
      </c>
      <c r="DY56" s="7">
        <f>DX56*AY56/1000</f>
        <v/>
      </c>
      <c r="DZ56" s="23">
        <f>DY56*1.07</f>
        <v/>
      </c>
      <c r="EA56" s="22">
        <f>IFERROR(DY56/AZ56,0)</f>
        <v/>
      </c>
      <c r="EB56" s="24" t="n"/>
      <c r="EC56" s="24" t="n"/>
      <c r="ED56" s="24" t="n"/>
      <c r="EE56" s="24">
        <f>IF(EB56&lt;&gt;"",EB56*ED56,0)</f>
        <v/>
      </c>
      <c r="EF56" s="24">
        <f>DV56-EE56</f>
        <v/>
      </c>
      <c r="EG56" s="24">
        <f>EF56*AU56</f>
        <v/>
      </c>
      <c r="EH56" s="24">
        <f>(EF56*AR56*AT56*AU56)/12</f>
        <v/>
      </c>
      <c r="EI56" s="24">
        <f>IFERROR(EH56/DV56,0)</f>
        <v/>
      </c>
      <c r="EJ56" s="24">
        <f>IFERROR(EH56*AY56/1000,0)</f>
        <v/>
      </c>
      <c r="EK56" s="24">
        <f>EJ56*1.07</f>
        <v/>
      </c>
      <c r="EL56" s="24" t="n"/>
      <c r="EM56" s="24" t="n"/>
    </row>
    <row r="57" ht="11.65" customFormat="1" customHeight="1" s="12">
      <c r="A57" s="85" t="inlineStr">
        <is>
          <t>Lumber</t>
        </is>
      </c>
      <c r="B57" s="30" t="n">
        <v>11005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>
        <v>-10950</v>
      </c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0" t="n"/>
      <c r="AK57" s="30" t="n"/>
      <c r="AL57" s="30" t="n"/>
      <c r="AM57" s="30" t="n"/>
      <c r="AN57" s="30" t="n"/>
      <c r="AO57" s="24" t="n"/>
      <c r="AP57" s="24">
        <f>SUM(D57:AO57)</f>
        <v/>
      </c>
      <c r="AQ57" s="24">
        <f>SUM(B57:AO57)</f>
        <v/>
      </c>
      <c r="AR57" s="30" t="n">
        <v>2</v>
      </c>
      <c r="AS57" s="29" t="inlineStr">
        <is>
          <t>x</t>
        </is>
      </c>
      <c r="AT57" s="30" t="n">
        <v>4</v>
      </c>
      <c r="AU57" s="30" t="n">
        <v>12</v>
      </c>
      <c r="AV57" s="29" t="inlineStr">
        <is>
          <t>SYP #2 PET 122-5/8</t>
        </is>
      </c>
      <c r="AW57" s="24">
        <f>AQ57*AU57</f>
        <v/>
      </c>
      <c r="AX57" s="84">
        <f>(AQ57*AR57*AT57*AU57)/12</f>
        <v/>
      </c>
      <c r="AY57" s="62" t="n">
        <v>635</v>
      </c>
      <c r="AZ57" s="7">
        <f>(AX57*AY57)/1000</f>
        <v/>
      </c>
      <c r="BA57" s="83">
        <f>AZ57*1.06</f>
        <v/>
      </c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n"/>
      <c r="DK57" s="24" t="n"/>
      <c r="DL57" s="24" t="n"/>
      <c r="DM57" s="24" t="n"/>
      <c r="DN57" s="24" t="n"/>
      <c r="DO57" s="24" t="n"/>
      <c r="DP57" s="24" t="n"/>
      <c r="DQ57" s="24" t="n"/>
      <c r="DR57" s="24" t="n"/>
      <c r="DS57" s="24" t="n"/>
      <c r="DT57" s="24" t="n"/>
      <c r="DU57" s="24" t="n"/>
      <c r="DV57" s="24">
        <f>SUM(BC57:DS57)</f>
        <v/>
      </c>
      <c r="DW57" s="24">
        <f>DV57*AU57</f>
        <v/>
      </c>
      <c r="DX57" s="24">
        <f>DV57*AR57*AT57*AU57/12</f>
        <v/>
      </c>
      <c r="DY57" s="7">
        <f>DX57*AY57/1000</f>
        <v/>
      </c>
      <c r="DZ57" s="23">
        <f>DY57*1.07</f>
        <v/>
      </c>
      <c r="EA57" s="22">
        <f>IFERROR(DY57/AZ57,0)</f>
        <v/>
      </c>
      <c r="EB57" s="24" t="n"/>
      <c r="EC57" s="24" t="n"/>
      <c r="ED57" s="24" t="n"/>
      <c r="EE57" s="24">
        <f>IF(EB57&lt;&gt;"",EB57*ED57,0)</f>
        <v/>
      </c>
      <c r="EF57" s="24">
        <f>DV57-EE57</f>
        <v/>
      </c>
      <c r="EG57" s="24">
        <f>EF57*AU57</f>
        <v/>
      </c>
      <c r="EH57" s="24">
        <f>(EF57*AR57*AT57*AU57)/12</f>
        <v/>
      </c>
      <c r="EI57" s="24">
        <f>IFERROR(EH57/DV57,0)</f>
        <v/>
      </c>
      <c r="EJ57" s="24">
        <f>IFERROR(EH57*AY57/1000,0)</f>
        <v/>
      </c>
      <c r="EK57" s="24">
        <f>EJ57*1.07</f>
        <v/>
      </c>
      <c r="EL57" s="24" t="n"/>
      <c r="EM57" s="24" t="n"/>
    </row>
    <row r="58" ht="11.65" customFormat="1" customHeight="1" s="12">
      <c r="A58" s="85" t="inlineStr">
        <is>
          <t>Lumber</t>
        </is>
      </c>
      <c r="B58" s="30" t="n">
        <v>87</v>
      </c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>
        <v>-46</v>
      </c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30" t="n"/>
      <c r="AD58" s="30" t="n"/>
      <c r="AE58" s="30" t="n"/>
      <c r="AF58" s="30" t="n"/>
      <c r="AG58" s="30" t="n"/>
      <c r="AH58" s="30" t="n"/>
      <c r="AI58" s="30" t="n"/>
      <c r="AJ58" s="30" t="n"/>
      <c r="AK58" s="30" t="n"/>
      <c r="AL58" s="30" t="n"/>
      <c r="AM58" s="30" t="n"/>
      <c r="AN58" s="30" t="n"/>
      <c r="AO58" s="24" t="n"/>
      <c r="AP58" s="24">
        <f>SUM(D58:AO58)</f>
        <v/>
      </c>
      <c r="AQ58" s="24">
        <f>SUM(B58:AO58)</f>
        <v/>
      </c>
      <c r="AR58" s="30" t="n">
        <v>2</v>
      </c>
      <c r="AS58" s="29" t="inlineStr">
        <is>
          <t>x</t>
        </is>
      </c>
      <c r="AT58" s="30" t="n">
        <v>4</v>
      </c>
      <c r="AU58" s="30" t="n">
        <v>12</v>
      </c>
      <c r="AV58" s="29" t="inlineStr">
        <is>
          <t>SYP #2 Standard 12'</t>
        </is>
      </c>
      <c r="AW58" s="24">
        <f>AQ58*AU58</f>
        <v/>
      </c>
      <c r="AX58" s="84">
        <f>(AQ58*AR58*AT58*AU58)/12</f>
        <v/>
      </c>
      <c r="AY58" s="62" t="n">
        <v>635</v>
      </c>
      <c r="AZ58" s="7">
        <f>(AX58*AY58)/1000</f>
        <v/>
      </c>
      <c r="BA58" s="83">
        <f>AZ58*1.06</f>
        <v/>
      </c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n"/>
      <c r="DK58" s="24" t="n"/>
      <c r="DL58" s="24" t="n"/>
      <c r="DM58" s="24" t="n"/>
      <c r="DN58" s="24" t="n"/>
      <c r="DO58" s="24" t="n"/>
      <c r="DP58" s="24" t="n"/>
      <c r="DQ58" s="24" t="n"/>
      <c r="DR58" s="24" t="n"/>
      <c r="DS58" s="24" t="n"/>
      <c r="DT58" s="24" t="n"/>
      <c r="DU58" s="24" t="n"/>
      <c r="DV58" s="24">
        <f>SUM(BC58:DS58)</f>
        <v/>
      </c>
      <c r="DW58" s="24">
        <f>DV58*AU58</f>
        <v/>
      </c>
      <c r="DX58" s="24">
        <f>DV58*AR58*AT58*AU58/12</f>
        <v/>
      </c>
      <c r="DY58" s="7">
        <f>DX58*AY58/1000</f>
        <v/>
      </c>
      <c r="DZ58" s="23">
        <f>DY58*1.07</f>
        <v/>
      </c>
      <c r="EA58" s="22">
        <f>IFERROR(DY58/AZ58,0)</f>
        <v/>
      </c>
      <c r="EB58" s="24" t="n"/>
      <c r="EC58" s="24" t="n"/>
      <c r="ED58" s="24" t="n"/>
      <c r="EE58" s="24">
        <f>IF(EB58&lt;&gt;"",EB58*ED58,0)</f>
        <v/>
      </c>
      <c r="EF58" s="24">
        <f>DV58-EE58</f>
        <v/>
      </c>
      <c r="EG58" s="24">
        <f>EF58*AU58</f>
        <v/>
      </c>
      <c r="EH58" s="24">
        <f>(EF58*AR58*AT58*AU58)/12</f>
        <v/>
      </c>
      <c r="EI58" s="24">
        <f>IFERROR(EH58/DV58,0)</f>
        <v/>
      </c>
      <c r="EJ58" s="24">
        <f>IFERROR(EH58*AY58/1000,0)</f>
        <v/>
      </c>
      <c r="EK58" s="24">
        <f>EJ58*1.07</f>
        <v/>
      </c>
      <c r="EL58" s="24" t="n"/>
      <c r="EM58" s="24" t="n"/>
    </row>
    <row r="59" ht="11.65" customFormat="1" customHeight="1" s="12">
      <c r="A59" s="85" t="inlineStr">
        <is>
          <t>Lumber</t>
        </is>
      </c>
      <c r="B59" s="30" t="n">
        <v>46499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>
        <v>-46499</v>
      </c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0" t="n"/>
      <c r="AC59" s="30" t="n"/>
      <c r="AD59" s="30" t="n"/>
      <c r="AE59" s="30" t="n"/>
      <c r="AF59" s="30" t="n"/>
      <c r="AG59" s="30" t="n"/>
      <c r="AH59" s="30" t="n"/>
      <c r="AI59" s="30" t="n"/>
      <c r="AJ59" s="30" t="n"/>
      <c r="AK59" s="30" t="n"/>
      <c r="AL59" s="30" t="n"/>
      <c r="AM59" s="30" t="n"/>
      <c r="AN59" s="30" t="n"/>
      <c r="AO59" s="24" t="n"/>
      <c r="AP59" s="24">
        <f>SUM(D59:AO59)</f>
        <v/>
      </c>
      <c r="AQ59" s="24">
        <f>SUM(B59:AO59)</f>
        <v/>
      </c>
      <c r="AR59" s="30" t="n">
        <v>2</v>
      </c>
      <c r="AS59" s="29" t="inlineStr">
        <is>
          <t>x</t>
        </is>
      </c>
      <c r="AT59" s="30" t="n">
        <v>6</v>
      </c>
      <c r="AU59" s="30" t="n">
        <v>12</v>
      </c>
      <c r="AV59" s="29" t="inlineStr">
        <is>
          <t>SYP #2 PET 122-5/8</t>
        </is>
      </c>
      <c r="AW59" s="24">
        <f>AQ59*AU59</f>
        <v/>
      </c>
      <c r="AX59" s="84">
        <f>(AQ59*AR59*AT59*AU59)/12</f>
        <v/>
      </c>
      <c r="AY59" s="62" t="n">
        <v>635</v>
      </c>
      <c r="AZ59" s="7">
        <f>(AX59*AY59)/1000</f>
        <v/>
      </c>
      <c r="BA59" s="83">
        <f>AZ59*1.06</f>
        <v/>
      </c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n"/>
      <c r="DK59" s="24" t="n"/>
      <c r="DL59" s="24" t="n"/>
      <c r="DM59" s="24" t="n"/>
      <c r="DN59" s="24" t="n"/>
      <c r="DO59" s="24" t="n"/>
      <c r="DP59" s="24" t="n"/>
      <c r="DQ59" s="24" t="n"/>
      <c r="DR59" s="24" t="n"/>
      <c r="DS59" s="24" t="n"/>
      <c r="DT59" s="24" t="n"/>
      <c r="DU59" s="24" t="n"/>
      <c r="DV59" s="24">
        <f>SUM(BC59:DS59)</f>
        <v/>
      </c>
      <c r="DW59" s="24">
        <f>DV59*AU59</f>
        <v/>
      </c>
      <c r="DX59" s="24">
        <f>DV59*AR59*AT59*AU59/12</f>
        <v/>
      </c>
      <c r="DY59" s="7">
        <f>DX59*AY59/1000</f>
        <v/>
      </c>
      <c r="DZ59" s="23">
        <f>DY59*1.07</f>
        <v/>
      </c>
      <c r="EA59" s="22">
        <f>IFERROR(DY59/AZ59,0)</f>
        <v/>
      </c>
      <c r="EB59" s="24" t="n"/>
      <c r="EC59" s="24" t="n"/>
      <c r="ED59" s="24" t="n"/>
      <c r="EE59" s="24">
        <f>IF(EB59&lt;&gt;"",EB59*ED59,0)</f>
        <v/>
      </c>
      <c r="EF59" s="24">
        <f>DV59-EE59</f>
        <v/>
      </c>
      <c r="EG59" s="24">
        <f>EF59*AU59</f>
        <v/>
      </c>
      <c r="EH59" s="24">
        <f>(EF59*AR59*AT59*AU59)/12</f>
        <v/>
      </c>
      <c r="EI59" s="24">
        <f>IFERROR(EH59/DV59,0)</f>
        <v/>
      </c>
      <c r="EJ59" s="24">
        <f>IFERROR(EH59*AY59/1000,0)</f>
        <v/>
      </c>
      <c r="EK59" s="24">
        <f>EJ59*1.07</f>
        <v/>
      </c>
      <c r="EL59" s="24" t="n"/>
      <c r="EM59" s="24" t="n"/>
    </row>
    <row r="60" ht="11.65" customFormat="1" customHeight="1" s="12">
      <c r="A60" s="85" t="inlineStr">
        <is>
          <t>Lumber</t>
        </is>
      </c>
      <c r="B60" s="30" t="n">
        <v>1357</v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>
        <v>-1357</v>
      </c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0" t="n"/>
      <c r="AC60" s="30" t="n"/>
      <c r="AD60" s="30" t="n"/>
      <c r="AE60" s="30" t="n"/>
      <c r="AF60" s="30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24" t="n"/>
      <c r="AP60" s="24">
        <f>SUM(D60:AO60)</f>
        <v/>
      </c>
      <c r="AQ60" s="24">
        <f>SUM(B60:AO60)</f>
        <v/>
      </c>
      <c r="AR60" s="30" t="n">
        <v>2</v>
      </c>
      <c r="AS60" s="29" t="inlineStr">
        <is>
          <t>x</t>
        </is>
      </c>
      <c r="AT60" s="30" t="n">
        <v>6</v>
      </c>
      <c r="AU60" s="30" t="n">
        <v>12</v>
      </c>
      <c r="AV60" s="29" t="inlineStr">
        <is>
          <t>SYP #2 Standard 12'</t>
        </is>
      </c>
      <c r="AW60" s="24">
        <f>AQ60*AU60</f>
        <v/>
      </c>
      <c r="AX60" s="84">
        <f>(AQ60*AR60*AT60*AU60)/12</f>
        <v/>
      </c>
      <c r="AY60" s="62" t="n">
        <v>635</v>
      </c>
      <c r="AZ60" s="7">
        <f>(AX60*AY60)/1000</f>
        <v/>
      </c>
      <c r="BA60" s="83">
        <f>AZ60*1.06</f>
        <v/>
      </c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4" t="n"/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n"/>
      <c r="DK60" s="24" t="n"/>
      <c r="DL60" s="24" t="n"/>
      <c r="DM60" s="24" t="n"/>
      <c r="DN60" s="24" t="n"/>
      <c r="DO60" s="24" t="n"/>
      <c r="DP60" s="24" t="n"/>
      <c r="DQ60" s="24" t="n"/>
      <c r="DR60" s="24" t="n"/>
      <c r="DS60" s="24" t="n"/>
      <c r="DT60" s="24" t="n"/>
      <c r="DU60" s="24" t="n"/>
      <c r="DV60" s="24">
        <f>SUM(BC60:DS60)</f>
        <v/>
      </c>
      <c r="DW60" s="24">
        <f>DV60*AU60</f>
        <v/>
      </c>
      <c r="DX60" s="24">
        <f>DV60*AR60*AT60*AU60/12</f>
        <v/>
      </c>
      <c r="DY60" s="7">
        <f>DX60*AY60/1000</f>
        <v/>
      </c>
      <c r="DZ60" s="23">
        <f>DY60*1.07</f>
        <v/>
      </c>
      <c r="EA60" s="22">
        <f>IFERROR(DY60/AZ60,0)</f>
        <v/>
      </c>
      <c r="EB60" s="24" t="n"/>
      <c r="EC60" s="24" t="n"/>
      <c r="ED60" s="24" t="n"/>
      <c r="EE60" s="24">
        <f>IF(EB60&lt;&gt;"",EB60*ED60,0)</f>
        <v/>
      </c>
      <c r="EF60" s="24">
        <f>DV60-EE60</f>
        <v/>
      </c>
      <c r="EG60" s="24">
        <f>EF60*AU60</f>
        <v/>
      </c>
      <c r="EH60" s="24">
        <f>(EF60*AR60*AT60*AU60)/12</f>
        <v/>
      </c>
      <c r="EI60" s="24">
        <f>IFERROR(EH60/DV60,0)</f>
        <v/>
      </c>
      <c r="EJ60" s="24">
        <f>IFERROR(EH60*AY60/1000,0)</f>
        <v/>
      </c>
      <c r="EK60" s="24">
        <f>EJ60*1.07</f>
        <v/>
      </c>
      <c r="EL60" s="24" t="n"/>
      <c r="EM60" s="24" t="n"/>
    </row>
    <row r="61" ht="11.65" customFormat="1" customHeight="1" s="12">
      <c r="A61" s="130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R61" s="129" t="n"/>
      <c r="AS61" s="128" t="n"/>
      <c r="AT61" s="129" t="n"/>
      <c r="AU61" s="129" t="n"/>
      <c r="AV61" s="128" t="n"/>
      <c r="AX61" s="127" t="n"/>
      <c r="AY61" s="126" t="n"/>
      <c r="AZ61" s="18" t="n"/>
      <c r="BA61" s="125" t="n"/>
      <c r="DY61" s="18" t="n"/>
      <c r="DZ61" s="11" t="n"/>
      <c r="EA61" s="90" t="n"/>
    </row>
    <row r="62" ht="11.65" customFormat="1" customHeight="1" s="12">
      <c r="A62" s="347" t="inlineStr">
        <is>
          <t>Type</t>
        </is>
      </c>
      <c r="B62" s="349" t="inlineStr">
        <is>
          <t>Qty</t>
        </is>
      </c>
      <c r="C62" s="349" t="inlineStr">
        <is>
          <t>Club House</t>
        </is>
      </c>
      <c r="D62" s="349" t="inlineStr">
        <is>
          <t>CO 09.17.2025</t>
        </is>
      </c>
      <c r="E62" s="349" t="inlineStr">
        <is>
          <t>CO 11.11.2025</t>
        </is>
      </c>
      <c r="F62" s="349" t="inlineStr">
        <is>
          <t>CO 12.29.2025</t>
        </is>
      </c>
      <c r="G62" s="349" t="inlineStr">
        <is>
          <t>CO 1.12.2026</t>
        </is>
      </c>
      <c r="H62" s="349" t="inlineStr">
        <is>
          <t>CO 1.13.2026</t>
        </is>
      </c>
      <c r="I62" s="349" t="inlineStr">
        <is>
          <t>CO 1.20.2026</t>
        </is>
      </c>
      <c r="J62" s="349" t="inlineStr">
        <is>
          <t>CO 1.23.2026</t>
        </is>
      </c>
      <c r="K62" s="349" t="inlineStr">
        <is>
          <t>CO 1.23.2026</t>
        </is>
      </c>
      <c r="L62" s="349" t="inlineStr">
        <is>
          <t>CO 2.10.2026</t>
        </is>
      </c>
      <c r="M62" s="349" t="inlineStr">
        <is>
          <t>CO 2.10.2026</t>
        </is>
      </c>
      <c r="N62" s="349" t="inlineStr">
        <is>
          <t>CO 2.17.2026</t>
        </is>
      </c>
      <c r="O62" s="349" t="inlineStr">
        <is>
          <t>CO 2.19.2026</t>
        </is>
      </c>
      <c r="P62" s="349" t="inlineStr">
        <is>
          <t>CO 2.25.2026</t>
        </is>
      </c>
      <c r="Q62" s="349" t="inlineStr">
        <is>
          <t>CO 03.02.2026</t>
        </is>
      </c>
      <c r="R62" s="349" t="inlineStr">
        <is>
          <t>CO 03.03.2026</t>
        </is>
      </c>
      <c r="S62" s="349" t="inlineStr">
        <is>
          <t>CO 03.05.2026</t>
        </is>
      </c>
      <c r="T62" s="349" t="inlineStr">
        <is>
          <t>CO 03.12.2026</t>
        </is>
      </c>
      <c r="U62" s="349" t="inlineStr">
        <is>
          <t>CO 03.13.2026</t>
        </is>
      </c>
      <c r="V62" s="349" t="inlineStr">
        <is>
          <t>CO 03.26.2026</t>
        </is>
      </c>
      <c r="W62" s="349" t="inlineStr">
        <is>
          <t>CO 04.02.2026</t>
        </is>
      </c>
      <c r="X62" s="349" t="inlineStr">
        <is>
          <t>CO 04.09.2026</t>
        </is>
      </c>
      <c r="Y62" s="349" t="inlineStr">
        <is>
          <t>CO 04.14.2026</t>
        </is>
      </c>
      <c r="Z62" s="349" t="inlineStr">
        <is>
          <t>CO 04.14.2026</t>
        </is>
      </c>
      <c r="AA62" s="349" t="inlineStr">
        <is>
          <t>CO 04.21.2026</t>
        </is>
      </c>
      <c r="AB62" s="349" t="inlineStr">
        <is>
          <t>CO 04.22.2026</t>
        </is>
      </c>
      <c r="AC62" s="349" t="inlineStr">
        <is>
          <t>CO 04.24.2026</t>
        </is>
      </c>
      <c r="AD62" s="349" t="inlineStr">
        <is>
          <t>CO 04.29.2026</t>
        </is>
      </c>
      <c r="AE62" s="349" t="inlineStr">
        <is>
          <t>CO 04.30.2026</t>
        </is>
      </c>
      <c r="AF62" s="349" t="inlineStr">
        <is>
          <t>CO 05.04.2026</t>
        </is>
      </c>
      <c r="AG62" s="349" t="inlineStr">
        <is>
          <t>CO 05.06.2026</t>
        </is>
      </c>
      <c r="AH62" s="349" t="inlineStr">
        <is>
          <t>CO 05.11.2026</t>
        </is>
      </c>
      <c r="AI62" s="349" t="inlineStr">
        <is>
          <t>CO 05.13.2026</t>
        </is>
      </c>
      <c r="AJ62" s="349" t="inlineStr">
        <is>
          <t>CO 05.13.2026</t>
        </is>
      </c>
      <c r="AK62" s="349" t="inlineStr">
        <is>
          <t>CO 05.19.2026</t>
        </is>
      </c>
      <c r="AL62" s="349" t="inlineStr">
        <is>
          <t>CO 05.20.2026</t>
        </is>
      </c>
      <c r="AM62" s="343" t="n"/>
      <c r="AN62" s="343" t="n"/>
      <c r="AO62" s="343" t="n"/>
      <c r="AP62" s="343" t="inlineStr">
        <is>
          <t>CO QTY</t>
        </is>
      </c>
      <c r="AQ62" s="352" t="inlineStr">
        <is>
          <t>PO + CO Qty</t>
        </is>
      </c>
      <c r="AR62" s="349" t="inlineStr">
        <is>
          <t>T</t>
        </is>
      </c>
      <c r="AS62" s="347" t="inlineStr">
        <is>
          <t>x</t>
        </is>
      </c>
      <c r="AT62" s="349" t="inlineStr">
        <is>
          <t>W</t>
        </is>
      </c>
      <c r="AU62" s="349" t="inlineStr">
        <is>
          <t>Length</t>
        </is>
      </c>
      <c r="AV62" s="349" t="inlineStr">
        <is>
          <t>Material Type</t>
        </is>
      </c>
      <c r="AW62" s="349" t="inlineStr">
        <is>
          <t>L/F-Pcs.</t>
        </is>
      </c>
      <c r="AX62" s="349" t="inlineStr">
        <is>
          <t>B/F-S/F</t>
        </is>
      </c>
      <c r="AY62" s="340" t="inlineStr">
        <is>
          <t>Cost/MBF/MSF</t>
        </is>
      </c>
      <c r="AZ62" s="340" t="inlineStr">
        <is>
          <t>Total Cost</t>
        </is>
      </c>
      <c r="BA62" s="340" t="inlineStr">
        <is>
          <t>Total Cost + Tax</t>
        </is>
      </c>
      <c r="BB62" s="349" t="inlineStr">
        <is>
          <t>Invoice #</t>
        </is>
      </c>
      <c r="BC62" s="324" t="n"/>
      <c r="BD62" s="324" t="n"/>
      <c r="BE62" s="324" t="n"/>
      <c r="BF62" s="324" t="n"/>
      <c r="BG62" s="324" t="n"/>
      <c r="BH62" s="324" t="n"/>
      <c r="BI62" s="324" t="n"/>
      <c r="BJ62" s="324" t="n"/>
      <c r="BK62" s="324" t="n"/>
      <c r="BL62" s="324" t="n"/>
      <c r="BM62" s="324" t="n"/>
      <c r="BN62" s="324" t="n"/>
      <c r="BO62" s="324" t="n"/>
      <c r="BP62" s="324" t="n"/>
      <c r="BQ62" s="324" t="n"/>
      <c r="BR62" s="324" t="n"/>
      <c r="BS62" s="324" t="n"/>
      <c r="BT62" s="324" t="n"/>
      <c r="BU62" s="324" t="n"/>
      <c r="BV62" s="324" t="n"/>
      <c r="BW62" s="324" t="n"/>
      <c r="BX62" s="324" t="n"/>
      <c r="BY62" s="324" t="n"/>
      <c r="BZ62" s="324" t="n"/>
      <c r="CA62" s="324" t="n"/>
      <c r="CB62" s="324" t="n"/>
      <c r="CC62" s="324" t="n"/>
      <c r="CD62" s="324" t="n"/>
      <c r="CE62" s="324" t="n"/>
      <c r="CF62" s="324" t="n"/>
      <c r="CG62" s="324" t="n"/>
      <c r="CH62" s="324" t="n"/>
      <c r="CI62" s="324" t="n"/>
      <c r="CJ62" s="324" t="n"/>
      <c r="CK62" s="324" t="n"/>
      <c r="CL62" s="324" t="n"/>
      <c r="CM62" s="324" t="n"/>
      <c r="CN62" s="324" t="n"/>
      <c r="CO62" s="324" t="n"/>
      <c r="CP62" s="324" t="n"/>
      <c r="CQ62" s="324" t="n"/>
      <c r="CR62" s="324" t="n"/>
      <c r="CS62" s="324" t="n"/>
      <c r="CT62" s="324" t="n"/>
      <c r="CU62" s="324" t="n"/>
      <c r="CV62" s="324" t="n"/>
      <c r="CX62" s="24" t="n"/>
      <c r="CY62" s="103" t="n"/>
      <c r="CZ62" s="103" t="n"/>
      <c r="DA62" s="103" t="n"/>
      <c r="DB62" s="103" t="n"/>
      <c r="DC62" s="103" t="n"/>
      <c r="DD62" s="326" t="n"/>
      <c r="DE62" s="326" t="n"/>
      <c r="DF62" s="324" t="n"/>
      <c r="DG62" s="324" t="n"/>
      <c r="DH62" s="324" t="n"/>
      <c r="DI62" s="324" t="n"/>
      <c r="DJ62" s="324" t="n"/>
      <c r="DK62" s="324" t="n"/>
      <c r="DL62" s="324" t="n"/>
      <c r="DM62" s="324" t="n"/>
      <c r="DN62" s="324" t="n"/>
      <c r="DO62" s="324" t="n"/>
      <c r="DP62" s="324" t="n"/>
      <c r="DQ62" s="324" t="n"/>
      <c r="DR62" s="324" t="n"/>
      <c r="DS62" s="324" t="n"/>
      <c r="DT62" s="324" t="n"/>
      <c r="DU62" s="324" t="n"/>
      <c r="DV62" s="344">
        <f>SUM(BC62:DS62)</f>
        <v/>
      </c>
      <c r="DW62" s="346">
        <f>DV62*AU62</f>
        <v/>
      </c>
      <c r="DX62" s="336">
        <f>DV62</f>
        <v/>
      </c>
      <c r="DY62" s="337">
        <f>DV62*AY62</f>
        <v/>
      </c>
      <c r="DZ62" s="338">
        <f>DY62*1.07</f>
        <v/>
      </c>
      <c r="EA62" s="339">
        <f>IFERROR(DY62/AZ62,0)</f>
        <v/>
      </c>
      <c r="EB62" s="333" t="inlineStr">
        <is>
          <t>Inventory (in Bundles)</t>
        </is>
      </c>
      <c r="EC62" s="333" t="inlineStr">
        <is>
          <t>UOM</t>
        </is>
      </c>
      <c r="ED62" s="333" t="inlineStr">
        <is>
          <t>PCS/Bundle</t>
        </is>
      </c>
      <c r="EE62" s="333">
        <f>IF(EB62&lt;&gt;"",EB62*ED62,0)</f>
        <v/>
      </c>
      <c r="EF62" s="334">
        <f>DV62-EE62</f>
        <v/>
      </c>
      <c r="EG62" s="334">
        <f>EF62*AU62</f>
        <v/>
      </c>
      <c r="EH62" s="335">
        <f>EF62</f>
        <v/>
      </c>
      <c r="EI62" s="327">
        <f>IFERROR(EH62/DV62,0)</f>
        <v/>
      </c>
      <c r="EJ62" s="327">
        <f>IFERROR(EH62*AY62/1000,0)</f>
        <v/>
      </c>
      <c r="EK62" s="327">
        <f>EJ62*1.07</f>
        <v/>
      </c>
      <c r="EL62" s="328" t="inlineStr">
        <is>
          <t>Variance Code</t>
        </is>
      </c>
      <c r="EM62" s="328" t="inlineStr">
        <is>
          <t>Reason</t>
        </is>
      </c>
    </row>
    <row r="63" ht="13.15" customFormat="1" customHeight="1" s="106">
      <c r="A63" s="362" t="n"/>
      <c r="B63" s="362" t="n"/>
      <c r="C63" s="362" t="n"/>
      <c r="D63" s="362" t="n"/>
      <c r="E63" s="362" t="n"/>
      <c r="F63" s="362" t="n"/>
      <c r="G63" s="362" t="n"/>
      <c r="H63" s="362" t="n"/>
      <c r="I63" s="362" t="n"/>
      <c r="J63" s="362" t="n"/>
      <c r="K63" s="362" t="n"/>
      <c r="L63" s="362" t="n"/>
      <c r="M63" s="362" t="n"/>
      <c r="N63" s="362" t="n"/>
      <c r="O63" s="362" t="n"/>
      <c r="P63" s="362" t="n"/>
      <c r="Q63" s="362" t="n"/>
      <c r="R63" s="362" t="n"/>
      <c r="S63" s="362" t="n"/>
      <c r="T63" s="362" t="n"/>
      <c r="U63" s="362" t="n"/>
      <c r="V63" s="362" t="n"/>
      <c r="W63" s="362" t="n"/>
      <c r="X63" s="362" t="n"/>
      <c r="Y63" s="362" t="n"/>
      <c r="Z63" s="362" t="n"/>
      <c r="AA63" s="362" t="n"/>
      <c r="AB63" s="362" t="n"/>
      <c r="AC63" s="362" t="n"/>
      <c r="AD63" s="362" t="n"/>
      <c r="AE63" s="362" t="n"/>
      <c r="AF63" s="362" t="n"/>
      <c r="AG63" s="362" t="n"/>
      <c r="AH63" s="362" t="n"/>
      <c r="AI63" s="362" t="n"/>
      <c r="AJ63" s="362" t="n"/>
      <c r="AK63" s="362" t="n"/>
      <c r="AL63" s="362" t="n"/>
      <c r="AM63" s="351" t="n"/>
      <c r="AN63" s="351" t="n"/>
      <c r="AO63" s="243" t="n"/>
      <c r="AP63" s="243" t="n"/>
      <c r="AQ63" s="362" t="n"/>
      <c r="AR63" s="362" t="n"/>
      <c r="AS63" s="362" t="n"/>
      <c r="AT63" s="362" t="n"/>
      <c r="AU63" s="362" t="n"/>
      <c r="AV63" s="362" t="n"/>
      <c r="AW63" s="362" t="n"/>
      <c r="AX63" s="362" t="n"/>
      <c r="AY63" s="362" t="n"/>
      <c r="AZ63" s="362" t="n"/>
      <c r="BA63" s="362" t="n"/>
      <c r="BB63" s="362" t="n"/>
      <c r="BC63" s="119" t="n">
        <v>45939</v>
      </c>
      <c r="BD63" s="119" t="n">
        <v>45972</v>
      </c>
      <c r="BE63" s="119" t="n">
        <v>45979</v>
      </c>
      <c r="BF63" s="119" t="n">
        <v>46009</v>
      </c>
      <c r="BG63" s="119" t="n">
        <v>46048</v>
      </c>
      <c r="BH63" s="119" t="n">
        <v>46050</v>
      </c>
      <c r="BI63" s="119" t="n">
        <v>46051</v>
      </c>
      <c r="BJ63" s="119" t="n">
        <v>46052</v>
      </c>
      <c r="BK63" s="119" t="n">
        <v>46055</v>
      </c>
      <c r="BL63" s="119" t="n">
        <v>46057</v>
      </c>
      <c r="BM63" s="119" t="n">
        <v>46058</v>
      </c>
      <c r="BN63" s="119" t="n">
        <v>46059</v>
      </c>
      <c r="BO63" s="119" t="n">
        <v>46062</v>
      </c>
      <c r="BP63" s="119" t="n">
        <v>46063</v>
      </c>
      <c r="BQ63" s="119" t="n">
        <v>46064</v>
      </c>
      <c r="BR63" s="119" t="n">
        <v>46065</v>
      </c>
      <c r="BS63" s="119" t="n">
        <v>46066</v>
      </c>
      <c r="BT63" s="119" t="n">
        <v>46070</v>
      </c>
      <c r="BU63" s="119" t="n">
        <v>46071</v>
      </c>
      <c r="BV63" s="119" t="n">
        <v>46072</v>
      </c>
      <c r="BW63" s="119" t="n">
        <v>46076</v>
      </c>
      <c r="BX63" s="119" t="n">
        <v>46077</v>
      </c>
      <c r="BY63" s="119" t="n">
        <v>46078</v>
      </c>
      <c r="BZ63" s="119" t="n">
        <v>46079</v>
      </c>
      <c r="CA63" s="119" t="n">
        <v>46080</v>
      </c>
      <c r="CB63" s="119" t="n">
        <v>46084</v>
      </c>
      <c r="CC63" s="119" t="n">
        <v>46086</v>
      </c>
      <c r="CD63" s="119" t="n">
        <v>46091</v>
      </c>
      <c r="CE63" s="119" t="n">
        <v>46092</v>
      </c>
      <c r="CF63" s="119" t="n">
        <v>46093</v>
      </c>
      <c r="CG63" s="119" t="n">
        <v>46094</v>
      </c>
      <c r="CH63" s="119" t="n">
        <v>46097</v>
      </c>
      <c r="CI63" s="119" t="n">
        <v>46098</v>
      </c>
      <c r="CJ63" s="119" t="n">
        <v>46100</v>
      </c>
      <c r="CK63" s="119" t="n">
        <v>46104</v>
      </c>
      <c r="CL63" s="119" t="n">
        <v>46108</v>
      </c>
      <c r="CM63" s="119" t="n">
        <v>46111</v>
      </c>
      <c r="CN63" s="119" t="n">
        <v>46112</v>
      </c>
      <c r="CO63" s="119" t="n">
        <v>46114</v>
      </c>
      <c r="CP63" s="119" t="n">
        <v>46118</v>
      </c>
      <c r="CQ63" s="119" t="n">
        <v>46119</v>
      </c>
      <c r="CR63" s="119" t="n">
        <v>46120</v>
      </c>
      <c r="CS63" s="119" t="n">
        <v>46121</v>
      </c>
      <c r="CT63" s="119" t="n">
        <v>46122</v>
      </c>
      <c r="CU63" s="119" t="n">
        <v>46125</v>
      </c>
      <c r="CV63" s="119" t="n">
        <v>46126</v>
      </c>
      <c r="CW63" s="122" t="n">
        <v>46127</v>
      </c>
      <c r="CX63" s="121" t="n">
        <v>46128</v>
      </c>
      <c r="CY63" s="121" t="n">
        <v>46129</v>
      </c>
      <c r="CZ63" s="120" t="n">
        <v>46132</v>
      </c>
      <c r="DA63" s="120" t="n">
        <v>46135</v>
      </c>
      <c r="DB63" s="120" t="n">
        <v>46136</v>
      </c>
      <c r="DC63" s="120" t="n">
        <v>46139</v>
      </c>
      <c r="DD63" s="120" t="n">
        <v>46140</v>
      </c>
      <c r="DE63" s="120" t="n">
        <v>46141</v>
      </c>
      <c r="DF63" s="119" t="n">
        <v>46142</v>
      </c>
      <c r="DG63" s="119" t="n">
        <v>46147</v>
      </c>
      <c r="DH63" s="119" t="n">
        <v>46148</v>
      </c>
      <c r="DI63" s="119" t="n">
        <v>46149</v>
      </c>
      <c r="DJ63" s="119" t="n">
        <v>46150</v>
      </c>
      <c r="DK63" s="119" t="n">
        <v>46153</v>
      </c>
      <c r="DL63" s="119" t="n">
        <v>46155</v>
      </c>
      <c r="DM63" s="119" t="n">
        <v>46156</v>
      </c>
      <c r="DN63" s="119" t="n">
        <v>46160</v>
      </c>
      <c r="DO63" s="119" t="n">
        <v>46161</v>
      </c>
      <c r="DP63" s="119" t="n"/>
      <c r="DQ63" s="119" t="n"/>
      <c r="DR63" s="119" t="n"/>
      <c r="DS63" s="119" t="n"/>
      <c r="DT63" s="119" t="n"/>
      <c r="DU63" s="119" t="n"/>
      <c r="DV63" s="372" t="n"/>
      <c r="DW63" s="373" t="n"/>
      <c r="DX63" s="374" t="n"/>
      <c r="DY63" s="374" t="n"/>
      <c r="DZ63" s="374" t="n"/>
      <c r="EA63" s="374" t="n"/>
      <c r="EB63" s="374" t="n"/>
      <c r="EC63" s="374" t="n"/>
      <c r="ED63" s="374" t="n"/>
      <c r="EE63" s="374" t="n"/>
      <c r="EF63" s="374" t="n"/>
      <c r="EG63" s="374" t="n"/>
      <c r="EH63" s="374" t="n"/>
      <c r="EI63" s="374" t="n"/>
      <c r="EJ63" s="374" t="n"/>
      <c r="EK63" s="374" t="n"/>
      <c r="EL63" s="374" t="n"/>
      <c r="EM63" s="374" t="n"/>
      <c r="EN63" s="12" t="n"/>
    </row>
    <row r="64" ht="12" customFormat="1" customHeight="1" s="24">
      <c r="A64" s="81" t="inlineStr">
        <is>
          <t>LVL</t>
        </is>
      </c>
      <c r="B64" s="30" t="n">
        <v>354</v>
      </c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>
        <v>-354</v>
      </c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0" t="n"/>
      <c r="AE64" s="30" t="n"/>
      <c r="AF64" s="30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P64" s="24">
        <f>SUM(D64:AO64)</f>
        <v/>
      </c>
      <c r="AQ64" s="24">
        <f>SUM(B64:AO64)</f>
        <v/>
      </c>
      <c r="AR64" s="63" t="inlineStr">
        <is>
          <t xml:space="preserve"> </t>
        </is>
      </c>
      <c r="AS64" s="63" t="inlineStr">
        <is>
          <t xml:space="preserve"> </t>
        </is>
      </c>
      <c r="AT64" s="30" t="n"/>
      <c r="AU64" s="30" t="n">
        <v>1</v>
      </c>
      <c r="AV64" s="29" t="inlineStr">
        <is>
          <t>1-3/4 X 9-1/4 PT LSL</t>
        </is>
      </c>
      <c r="AW64" s="24">
        <f>AQ64*AU64</f>
        <v/>
      </c>
      <c r="AY64" s="62" t="n">
        <v>13.35</v>
      </c>
      <c r="AZ64" s="7">
        <f>(AW64*AY64)</f>
        <v/>
      </c>
      <c r="BA64" s="7">
        <f>AZ64*1.06</f>
        <v/>
      </c>
      <c r="BB64" s="53" t="n"/>
      <c r="BC64" s="53" t="n"/>
      <c r="BD64" s="53" t="n"/>
      <c r="BE64" s="53" t="n"/>
      <c r="BG64" s="34" t="n"/>
      <c r="BH64" s="34" t="n"/>
      <c r="BI64" s="34" t="n"/>
      <c r="BJ64" s="43" t="n"/>
      <c r="BL64" s="103" t="n"/>
      <c r="DV64" s="24">
        <f>SUM(BC64:DS64)</f>
        <v/>
      </c>
      <c r="DW64" s="24">
        <f>DV64*AU64</f>
        <v/>
      </c>
      <c r="DX64">
        <f>DV64*AU64</f>
        <v/>
      </c>
      <c r="DY64" s="7">
        <f>DW64*AY64</f>
        <v/>
      </c>
      <c r="DZ64" s="23">
        <f>DY64*1.07</f>
        <v/>
      </c>
      <c r="EA64" s="22">
        <f>IFERROR(DY64/AZ64,0)</f>
        <v/>
      </c>
      <c r="EE64">
        <f>IF(EB64&lt;&gt;"",EB64*ED64,0)</f>
        <v/>
      </c>
      <c r="EF64">
        <f>DV64-EE64</f>
        <v/>
      </c>
      <c r="EG64">
        <f>EF64*AU64</f>
        <v/>
      </c>
      <c r="EH64">
        <f>EF64</f>
        <v/>
      </c>
      <c r="EI64">
        <f>IFERROR(EH64/DV64,0)</f>
        <v/>
      </c>
      <c r="EJ64">
        <f>IFERROR(EH64*AY64/1000,0)</f>
        <v/>
      </c>
      <c r="EK64">
        <f>EJ64*1.07</f>
        <v/>
      </c>
    </row>
    <row r="65" ht="12" customFormat="1" customHeight="1" s="12">
      <c r="A65" s="81" t="inlineStr">
        <is>
          <t>LVL</t>
        </is>
      </c>
      <c r="B65" s="355" t="n"/>
      <c r="C65" s="355" t="n">
        <v>-280</v>
      </c>
      <c r="D65" s="355" t="n"/>
      <c r="E65" s="355" t="n"/>
      <c r="F65" s="355" t="n"/>
      <c r="G65" s="355" t="n"/>
      <c r="H65" s="355" t="n"/>
      <c r="I65" s="355" t="n"/>
      <c r="J65" s="355" t="n"/>
      <c r="K65" s="355" t="n">
        <v>280</v>
      </c>
      <c r="L65" s="355" t="n"/>
      <c r="M65" s="355" t="n"/>
      <c r="N65" s="355" t="n"/>
      <c r="O65" s="355" t="n"/>
      <c r="P65" s="355" t="n"/>
      <c r="Q65" s="355" t="n"/>
      <c r="R65" s="355" t="n"/>
      <c r="S65" s="355" t="n"/>
      <c r="T65" s="355" t="n"/>
      <c r="U65" s="355" t="n"/>
      <c r="V65" s="355" t="n"/>
      <c r="W65" s="355" t="n"/>
      <c r="X65" s="355" t="n"/>
      <c r="Y65" s="355" t="n"/>
      <c r="Z65" s="355" t="n"/>
      <c r="AA65" s="355" t="n"/>
      <c r="AB65" s="355" t="n"/>
      <c r="AC65" s="355" t="n"/>
      <c r="AD65" s="355" t="n"/>
      <c r="AE65" s="355" t="n"/>
      <c r="AF65" s="355" t="n"/>
      <c r="AG65" s="355" t="n"/>
      <c r="AH65" s="355" t="n"/>
      <c r="AI65" s="355" t="n"/>
      <c r="AJ65" s="355" t="n"/>
      <c r="AK65" s="355" t="n"/>
      <c r="AL65" s="355" t="n"/>
      <c r="AM65" s="355" t="n"/>
      <c r="AN65" s="355" t="n"/>
      <c r="AO65" s="65" t="n"/>
      <c r="AP65" s="24">
        <f>SUM(D65:AO65)</f>
        <v/>
      </c>
      <c r="AQ65" s="24">
        <f>SUM(B65:AO65)</f>
        <v/>
      </c>
      <c r="AR65" s="70" t="n"/>
      <c r="AS65" s="70" t="n"/>
      <c r="AT65" s="355" t="n"/>
      <c r="AU65" s="355" t="n">
        <v>1</v>
      </c>
      <c r="AV65" s="29" t="inlineStr">
        <is>
          <t xml:space="preserve">1-3/4 X 9-1/4 LVL </t>
        </is>
      </c>
      <c r="AW65" s="24">
        <f>AQ65*AU65</f>
        <v/>
      </c>
      <c r="AX65" s="65" t="n"/>
      <c r="AY65" s="69" t="n">
        <v>10.95</v>
      </c>
      <c r="AZ65" s="7">
        <f>(AW65*AY65)</f>
        <v/>
      </c>
      <c r="BA65" s="7">
        <f>AZ65*1.06</f>
        <v/>
      </c>
      <c r="BB65" s="92" t="n"/>
      <c r="BC65" s="118" t="n"/>
      <c r="BD65" s="118" t="n"/>
      <c r="BE65" s="118" t="n"/>
      <c r="BF65" s="76" t="n"/>
      <c r="BG65" s="24" t="n"/>
      <c r="BH65" s="24" t="n"/>
      <c r="BI65" s="24" t="n"/>
      <c r="BJ65" s="74" t="n"/>
      <c r="BK65" s="24" t="n"/>
      <c r="BL65" s="116" t="n"/>
      <c r="BM65" s="65" t="n"/>
      <c r="BN65" s="65" t="n"/>
      <c r="BO65" s="65" t="n"/>
      <c r="BP65" s="65" t="n"/>
      <c r="BQ65" s="65" t="n"/>
      <c r="BR65" s="65" t="n"/>
      <c r="BS65" s="65" t="n"/>
      <c r="BT65" s="65" t="n"/>
      <c r="BU65" s="65" t="n"/>
      <c r="BV65" s="65" t="n"/>
      <c r="BW65" s="65" t="n"/>
      <c r="BX65" s="65" t="n"/>
      <c r="BY65" s="65" t="n"/>
      <c r="BZ65" s="65" t="n"/>
      <c r="CA65" s="65" t="n"/>
      <c r="CB65" s="65" t="n"/>
      <c r="CC65" s="65" t="n"/>
      <c r="CD65" s="65" t="n"/>
      <c r="CE65" s="65" t="n"/>
      <c r="CF65" s="65" t="n"/>
      <c r="CG65" s="65" t="n"/>
      <c r="CH65" s="65" t="n"/>
      <c r="CI65" s="65" t="n"/>
      <c r="CJ65" s="65" t="n"/>
      <c r="CK65" s="65" t="n"/>
      <c r="CL65" s="65" t="n"/>
      <c r="CM65" s="65" t="n"/>
      <c r="CN65" s="65" t="n"/>
      <c r="CO65" s="65" t="n"/>
      <c r="CP65" s="65" t="n"/>
      <c r="CQ65" s="65" t="n"/>
      <c r="CR65" s="65" t="n"/>
      <c r="CS65" s="65" t="n"/>
      <c r="CT65" s="65" t="n"/>
      <c r="CU65" s="65" t="n"/>
      <c r="CV65" s="65" t="n"/>
      <c r="CW65" s="65" t="n"/>
      <c r="CX65" s="65" t="n"/>
      <c r="CY65" s="65" t="n"/>
      <c r="CZ65" s="65" t="n"/>
      <c r="DA65" s="65" t="n"/>
      <c r="DB65" s="65" t="n"/>
      <c r="DC65" s="65" t="n"/>
      <c r="DD65" s="65" t="n"/>
      <c r="DE65" s="65" t="n"/>
      <c r="DF65" s="65" t="n"/>
      <c r="DG65" s="65" t="n"/>
      <c r="DH65" s="65" t="n"/>
      <c r="DI65" s="65" t="n"/>
      <c r="DJ65" s="65" t="n"/>
      <c r="DK65" s="65" t="n"/>
      <c r="DL65" s="65" t="n"/>
      <c r="DM65" s="65" t="n"/>
      <c r="DN65" s="65" t="n"/>
      <c r="DO65" s="65" t="n"/>
      <c r="DP65" s="65" t="n"/>
      <c r="DQ65" s="65" t="n"/>
      <c r="DR65" s="65" t="n"/>
      <c r="DS65" s="65" t="n"/>
      <c r="DT65" s="65" t="n"/>
      <c r="DU65" s="65" t="n"/>
      <c r="DV65" s="24">
        <f>SUM(BC65:DS65)</f>
        <v/>
      </c>
      <c r="DW65" s="24">
        <f>DV65*AU65</f>
        <v/>
      </c>
      <c r="DX65" s="24">
        <f>DV65*AU65</f>
        <v/>
      </c>
      <c r="DY65" s="7">
        <f>DW65*AY65</f>
        <v/>
      </c>
      <c r="DZ65" s="23">
        <f>DY65*1.07</f>
        <v/>
      </c>
      <c r="EA65" s="22">
        <f>IFERROR(DY65/AZ65,0)</f>
        <v/>
      </c>
      <c r="EB65" s="65" t="n"/>
      <c r="EC65" s="65" t="n"/>
      <c r="ED65" s="65" t="n"/>
      <c r="EE65" s="65">
        <f>IF(EB65&lt;&gt;"",EB65*ED65,0)</f>
        <v/>
      </c>
      <c r="EF65" s="65">
        <f>DV65-EE65</f>
        <v/>
      </c>
      <c r="EG65" s="65">
        <f>EF65*AU65</f>
        <v/>
      </c>
      <c r="EH65" s="65">
        <f>EF65</f>
        <v/>
      </c>
      <c r="EI65" s="65">
        <f>IFERROR(EH65/DV65,0)</f>
        <v/>
      </c>
      <c r="EJ65" s="65">
        <f>IFERROR(EH65*AY65/1000,0)</f>
        <v/>
      </c>
      <c r="EK65" s="65">
        <f>EJ65*1.07</f>
        <v/>
      </c>
      <c r="EL65" s="65" t="n"/>
      <c r="EM65" s="65" t="n"/>
    </row>
    <row r="66" ht="12" customFormat="1" customHeight="1" s="12">
      <c r="A66" s="81" t="inlineStr">
        <is>
          <t>LVL</t>
        </is>
      </c>
      <c r="B66" s="355" t="n"/>
      <c r="C66" s="355" t="n"/>
      <c r="D66" s="355" t="n"/>
      <c r="E66" s="355" t="n"/>
      <c r="F66" s="355" t="n"/>
      <c r="G66" s="355" t="n"/>
      <c r="H66" s="355" t="n"/>
      <c r="I66" s="355" t="n"/>
      <c r="J66" s="355" t="n"/>
      <c r="K66" s="355" t="n">
        <v>24</v>
      </c>
      <c r="L66" s="355" t="n"/>
      <c r="M66" s="355" t="n"/>
      <c r="N66" s="355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  <c r="Y66" s="355" t="n"/>
      <c r="Z66" s="355" t="n"/>
      <c r="AA66" s="355" t="n"/>
      <c r="AB66" s="355" t="n"/>
      <c r="AC66" s="355" t="n"/>
      <c r="AD66" s="355" t="n"/>
      <c r="AE66" s="355" t="n"/>
      <c r="AF66" s="355" t="n"/>
      <c r="AG66" s="355" t="n"/>
      <c r="AH66" s="355" t="n"/>
      <c r="AI66" s="355" t="n"/>
      <c r="AJ66" s="355" t="n"/>
      <c r="AK66" s="355" t="n"/>
      <c r="AL66" s="355" t="n"/>
      <c r="AM66" s="355" t="n"/>
      <c r="AN66" s="355" t="n"/>
      <c r="AO66" s="65" t="n"/>
      <c r="AP66" s="24">
        <f>SUM(D66:AO66)</f>
        <v/>
      </c>
      <c r="AQ66" s="24">
        <f>SUM(B66:AO66)</f>
        <v/>
      </c>
      <c r="AR66" s="70" t="n"/>
      <c r="AS66" s="70" t="n"/>
      <c r="AT66" s="355" t="n"/>
      <c r="AU66" s="355" t="n">
        <v>10</v>
      </c>
      <c r="AV66" s="357" t="inlineStr">
        <is>
          <t xml:space="preserve">1-3/4 X 11-7/8 LVL </t>
        </is>
      </c>
      <c r="AW66" s="24">
        <f>AQ66*AU66</f>
        <v/>
      </c>
      <c r="AX66" s="65" t="n"/>
      <c r="AY66" s="69" t="n">
        <v>16</v>
      </c>
      <c r="AZ66" s="7">
        <f>(AW66*AY66)</f>
        <v/>
      </c>
      <c r="BA66" s="7">
        <f>AZ66*1.06</f>
        <v/>
      </c>
      <c r="BB66" s="92" t="n">
        <v>68981111</v>
      </c>
      <c r="BC66" s="118" t="n"/>
      <c r="BD66" s="118" t="n"/>
      <c r="BE66" s="118" t="n"/>
      <c r="BF66" s="76" t="n"/>
      <c r="BG66" s="24" t="n"/>
      <c r="BH66" s="24" t="n"/>
      <c r="BI66" s="24" t="n"/>
      <c r="BJ66" s="74" t="n"/>
      <c r="BK66" s="24" t="n"/>
      <c r="BL66" s="116" t="n"/>
      <c r="BM66" s="65" t="n"/>
      <c r="BN66" s="65" t="n"/>
      <c r="BO66" s="65" t="n"/>
      <c r="BP66" s="65" t="n"/>
      <c r="BQ66" s="65" t="n"/>
      <c r="BR66" s="65" t="n"/>
      <c r="BS66" s="65" t="n"/>
      <c r="BT66" s="65" t="n"/>
      <c r="BU66" s="65" t="n"/>
      <c r="BV66" s="65" t="n"/>
      <c r="BW66" s="65" t="n"/>
      <c r="BX66" s="65" t="n"/>
      <c r="BY66" s="65" t="n"/>
      <c r="BZ66" s="65" t="n"/>
      <c r="CA66" s="65">
        <f>240/10</f>
        <v/>
      </c>
      <c r="CB66" s="65" t="n"/>
      <c r="CC66" s="65" t="n"/>
      <c r="CD66" s="65" t="n"/>
      <c r="CE66" s="65" t="n"/>
      <c r="CF66" s="65" t="n"/>
      <c r="CG66" s="65" t="n"/>
      <c r="CH66" s="65" t="n"/>
      <c r="CI66" s="65" t="n"/>
      <c r="CJ66" s="65" t="n"/>
      <c r="CK66" s="65" t="n"/>
      <c r="CL66" s="65" t="n"/>
      <c r="CM66" s="65" t="n"/>
      <c r="CN66" s="65" t="n"/>
      <c r="CO66" s="65" t="n"/>
      <c r="CP66" s="65" t="n"/>
      <c r="CQ66" s="65" t="n"/>
      <c r="CR66" s="65" t="n"/>
      <c r="CS66" s="65" t="n"/>
      <c r="CT66" s="65" t="n"/>
      <c r="CU66" s="65" t="n"/>
      <c r="CV66" s="65" t="n"/>
      <c r="CW66" s="65" t="n"/>
      <c r="CX66" s="65" t="n"/>
      <c r="CY66" s="65" t="n"/>
      <c r="CZ66" s="65" t="n"/>
      <c r="DA66" s="65" t="n"/>
      <c r="DB66" s="65" t="n"/>
      <c r="DC66" s="65" t="n"/>
      <c r="DD66" s="65" t="n"/>
      <c r="DE66" s="65" t="n"/>
      <c r="DF66" s="65" t="n"/>
      <c r="DG66" s="65" t="n"/>
      <c r="DH66" s="65" t="n"/>
      <c r="DI66" s="65" t="n"/>
      <c r="DJ66" s="65" t="n"/>
      <c r="DK66" s="65" t="n"/>
      <c r="DL66" s="65" t="n"/>
      <c r="DM66" s="65" t="n"/>
      <c r="DN66" s="65" t="n"/>
      <c r="DO66" s="65" t="n"/>
      <c r="DP66" s="65" t="n"/>
      <c r="DQ66" s="65" t="n"/>
      <c r="DR66" s="65" t="n"/>
      <c r="DS66" s="65" t="n"/>
      <c r="DT66" s="65" t="n"/>
      <c r="DU66" s="65" t="n"/>
      <c r="DV66" s="24">
        <f>SUM(BC66:DS66)</f>
        <v/>
      </c>
      <c r="DW66" s="24">
        <f>DV66*AU66</f>
        <v/>
      </c>
      <c r="DX66" s="24">
        <f>DV66*AU66</f>
        <v/>
      </c>
      <c r="DY66" s="7">
        <f>DW66*AY66</f>
        <v/>
      </c>
      <c r="DZ66" s="23">
        <f>DY66*1.07</f>
        <v/>
      </c>
      <c r="EA66" s="22">
        <f>IFERROR(DY66/AZ66,0)</f>
        <v/>
      </c>
      <c r="EB66" s="65" t="n"/>
      <c r="EC66" s="65" t="n"/>
      <c r="ED66" s="65" t="n"/>
      <c r="EE66" s="65">
        <f>IF(EB66&lt;&gt;"",EB66*ED66,0)</f>
        <v/>
      </c>
      <c r="EF66" s="65">
        <f>DV66-EE66</f>
        <v/>
      </c>
      <c r="EG66" s="65">
        <f>EF66*AU66</f>
        <v/>
      </c>
      <c r="EH66" s="65">
        <f>EF66</f>
        <v/>
      </c>
      <c r="EI66" s="65">
        <f>IFERROR(EH66/DV66,0)</f>
        <v/>
      </c>
      <c r="EJ66" s="65">
        <f>IFERROR(EH66*AY66/1000,0)</f>
        <v/>
      </c>
      <c r="EK66" s="65">
        <f>EJ66*1.07</f>
        <v/>
      </c>
      <c r="EL66" s="65" t="n"/>
      <c r="EM66" s="65" t="n"/>
    </row>
    <row r="67" ht="12" customFormat="1" customHeight="1" s="12">
      <c r="A67" s="81" t="inlineStr">
        <is>
          <t>LVL</t>
        </is>
      </c>
      <c r="B67" s="355" t="n"/>
      <c r="C67" s="355" t="n"/>
      <c r="D67" s="355" t="n"/>
      <c r="E67" s="355" t="n"/>
      <c r="F67" s="355" t="n"/>
      <c r="G67" s="355" t="n"/>
      <c r="H67" s="355" t="n"/>
      <c r="I67" s="355" t="n"/>
      <c r="J67" s="355" t="n"/>
      <c r="K67" s="355" t="n">
        <v>3</v>
      </c>
      <c r="L67" s="355" t="n"/>
      <c r="M67" s="355" t="n"/>
      <c r="N67" s="355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  <c r="Y67" s="355" t="n"/>
      <c r="Z67" s="355" t="n"/>
      <c r="AA67" s="355" t="n"/>
      <c r="AB67" s="355" t="n"/>
      <c r="AC67" s="355" t="n"/>
      <c r="AD67" s="355" t="n"/>
      <c r="AE67" s="355" t="n"/>
      <c r="AF67" s="355" t="n"/>
      <c r="AG67" s="355" t="n"/>
      <c r="AH67" s="355" t="n"/>
      <c r="AI67" s="355" t="n"/>
      <c r="AJ67" s="355" t="n"/>
      <c r="AK67" s="355" t="n"/>
      <c r="AL67" s="355" t="n"/>
      <c r="AM67" s="355" t="n"/>
      <c r="AN67" s="355" t="n"/>
      <c r="AO67" s="65" t="n"/>
      <c r="AP67" s="24">
        <f>SUM(D67:AO67)</f>
        <v/>
      </c>
      <c r="AQ67" s="24">
        <f>SUM(B67:AO67)</f>
        <v/>
      </c>
      <c r="AR67" s="70" t="n"/>
      <c r="AS67" s="70" t="n"/>
      <c r="AT67" s="355" t="n"/>
      <c r="AU67" s="355" t="n">
        <v>26</v>
      </c>
      <c r="AV67" s="357" t="inlineStr">
        <is>
          <t xml:space="preserve">1-3/4 X 11-7/8 LVL </t>
        </is>
      </c>
      <c r="AW67" s="24">
        <f>AQ67*AU67</f>
        <v/>
      </c>
      <c r="AX67" s="65" t="n"/>
      <c r="AY67" s="69" t="n">
        <v>16</v>
      </c>
      <c r="AZ67" s="7">
        <f>(AW67*AY67)</f>
        <v/>
      </c>
      <c r="BA67" s="7">
        <f>AZ67*1.06</f>
        <v/>
      </c>
      <c r="BB67" s="92" t="n">
        <v>68981111</v>
      </c>
      <c r="BC67" s="118" t="n"/>
      <c r="BD67" s="118" t="n"/>
      <c r="BE67" s="118" t="n"/>
      <c r="BF67" s="76" t="n"/>
      <c r="BG67" s="24" t="n"/>
      <c r="BH67" s="24" t="n"/>
      <c r="BI67" s="24" t="n"/>
      <c r="BJ67" s="74" t="n"/>
      <c r="BK67" s="24" t="n"/>
      <c r="BL67" s="116" t="n"/>
      <c r="BM67" s="65" t="n"/>
      <c r="BN67" s="65" t="n"/>
      <c r="BO67" s="65" t="n"/>
      <c r="BP67" s="65" t="n"/>
      <c r="BQ67" s="65" t="n"/>
      <c r="BR67" s="65" t="n"/>
      <c r="BS67" s="65" t="n"/>
      <c r="BT67" s="65" t="n"/>
      <c r="BU67" s="65" t="n"/>
      <c r="BV67" s="65" t="n"/>
      <c r="BW67" s="65" t="n"/>
      <c r="BX67" s="65" t="n"/>
      <c r="BY67" s="65" t="n"/>
      <c r="BZ67" s="65" t="n"/>
      <c r="CA67" s="65">
        <f>78/26</f>
        <v/>
      </c>
      <c r="CB67" s="65" t="n"/>
      <c r="CC67" s="65" t="n"/>
      <c r="CD67" s="65" t="n"/>
      <c r="CE67" s="65" t="n"/>
      <c r="CF67" s="65" t="n"/>
      <c r="CG67" s="65" t="n"/>
      <c r="CH67" s="65" t="n"/>
      <c r="CI67" s="65" t="n"/>
      <c r="CJ67" s="65" t="n"/>
      <c r="CK67" s="65" t="n"/>
      <c r="CL67" s="65" t="n"/>
      <c r="CM67" s="65" t="n"/>
      <c r="CN67" s="65" t="n"/>
      <c r="CO67" s="65" t="n"/>
      <c r="CP67" s="65" t="n"/>
      <c r="CQ67" s="65" t="n"/>
      <c r="CR67" s="65" t="n"/>
      <c r="CS67" s="65" t="n"/>
      <c r="CT67" s="65" t="n"/>
      <c r="CU67" s="65" t="n"/>
      <c r="CV67" s="65" t="n"/>
      <c r="CW67" s="65" t="n"/>
      <c r="CX67" s="65" t="n"/>
      <c r="CY67" s="65" t="n"/>
      <c r="CZ67" s="65" t="n"/>
      <c r="DA67" s="65" t="n"/>
      <c r="DB67" s="65" t="n"/>
      <c r="DC67" s="65" t="n"/>
      <c r="DD67" s="65" t="n"/>
      <c r="DE67" s="65" t="n"/>
      <c r="DF67" s="65" t="n"/>
      <c r="DG67" s="65" t="n"/>
      <c r="DH67" s="65" t="n"/>
      <c r="DI67" s="65" t="n"/>
      <c r="DJ67" s="65" t="n"/>
      <c r="DK67" s="65" t="n"/>
      <c r="DL67" s="65" t="n"/>
      <c r="DM67" s="65" t="n"/>
      <c r="DN67" s="65" t="n"/>
      <c r="DO67" s="65" t="n"/>
      <c r="DP67" s="65" t="n"/>
      <c r="DQ67" s="65" t="n"/>
      <c r="DR67" s="65" t="n"/>
      <c r="DS67" s="65" t="n"/>
      <c r="DT67" s="65" t="n"/>
      <c r="DU67" s="65" t="n"/>
      <c r="DV67" s="24">
        <f>SUM(BC67:DS67)</f>
        <v/>
      </c>
      <c r="DW67" s="24">
        <f>DV67*AU67</f>
        <v/>
      </c>
      <c r="DX67" s="24">
        <f>DV67*AU67</f>
        <v/>
      </c>
      <c r="DY67" s="7">
        <f>DW67*AY67</f>
        <v/>
      </c>
      <c r="DZ67" s="23">
        <f>DY67*1.07</f>
        <v/>
      </c>
      <c r="EA67" s="22">
        <f>IFERROR(DY67/AZ67,0)</f>
        <v/>
      </c>
      <c r="EB67" s="65" t="n"/>
      <c r="EC67" s="65" t="n"/>
      <c r="ED67" s="65" t="n"/>
      <c r="EE67" s="65">
        <f>IF(EB67&lt;&gt;"",EB67*ED67,0)</f>
        <v/>
      </c>
      <c r="EF67" s="65">
        <f>DV67-EE67</f>
        <v/>
      </c>
      <c r="EG67" s="65">
        <f>EF67*AU67</f>
        <v/>
      </c>
      <c r="EH67" s="65">
        <f>EF67</f>
        <v/>
      </c>
      <c r="EI67" s="65">
        <f>IFERROR(EH67/DV67,0)</f>
        <v/>
      </c>
      <c r="EJ67" s="65">
        <f>IFERROR(EH67*AY67/1000,0)</f>
        <v/>
      </c>
      <c r="EK67" s="65">
        <f>EJ67*1.07</f>
        <v/>
      </c>
      <c r="EL67" s="65" t="n"/>
      <c r="EM67" s="65" t="n"/>
    </row>
    <row r="68" ht="12" customFormat="1" customHeight="1" s="12">
      <c r="A68" s="81" t="n"/>
      <c r="B68" s="355" t="n"/>
      <c r="C68" s="355" t="n"/>
      <c r="D68" s="355" t="n"/>
      <c r="E68" s="355" t="n"/>
      <c r="F68" s="355" t="n"/>
      <c r="G68" s="355" t="n"/>
      <c r="H68" s="355" t="n"/>
      <c r="I68" s="355" t="n"/>
      <c r="J68" s="355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  <c r="Y68" s="355" t="n">
        <v>18</v>
      </c>
      <c r="Z68" s="355" t="n"/>
      <c r="AA68" s="355" t="n"/>
      <c r="AB68" s="355" t="n"/>
      <c r="AC68" s="355" t="n"/>
      <c r="AD68" s="355" t="n"/>
      <c r="AE68" s="355" t="n"/>
      <c r="AF68" s="355" t="n"/>
      <c r="AG68" s="355" t="n"/>
      <c r="AH68" s="355" t="n"/>
      <c r="AI68" s="355" t="n"/>
      <c r="AJ68" s="355" t="n"/>
      <c r="AK68" s="355" t="n"/>
      <c r="AL68" s="355" t="n"/>
      <c r="AM68" s="355" t="n"/>
      <c r="AN68" s="355" t="n"/>
      <c r="AO68" s="65" t="n"/>
      <c r="AP68" s="24">
        <f>SUM(D68:AO68)</f>
        <v/>
      </c>
      <c r="AQ68" s="24">
        <f>SUM(B68:AO68)</f>
        <v/>
      </c>
      <c r="AR68" s="70" t="n"/>
      <c r="AS68" s="70" t="n"/>
      <c r="AT68" s="355" t="n"/>
      <c r="AU68" s="355" t="n">
        <v>18</v>
      </c>
      <c r="AV68" s="357" t="inlineStr">
        <is>
          <t xml:space="preserve">1-3/4 X 11-7/8 LVL </t>
        </is>
      </c>
      <c r="AW68" s="24">
        <f>AQ68*AU68</f>
        <v/>
      </c>
      <c r="AX68" s="65" t="n"/>
      <c r="AY68" s="69" t="n">
        <v>16</v>
      </c>
      <c r="AZ68" s="7">
        <f>(AW68*AY68)</f>
        <v/>
      </c>
      <c r="BA68" s="7">
        <f>AZ68*1.07</f>
        <v/>
      </c>
      <c r="BB68" s="92" t="n"/>
      <c r="BC68" s="118" t="n"/>
      <c r="BD68" s="118" t="n"/>
      <c r="BE68" s="118" t="n"/>
      <c r="BF68" s="76" t="n"/>
      <c r="BG68" s="24" t="n"/>
      <c r="BH68" s="24" t="n"/>
      <c r="BI68" s="24" t="n"/>
      <c r="BJ68" s="74" t="n"/>
      <c r="BK68" s="24" t="n"/>
      <c r="BL68" s="116" t="n"/>
      <c r="BM68" s="65" t="n"/>
      <c r="BN68" s="65" t="n"/>
      <c r="BO68" s="65" t="n"/>
      <c r="BP68" s="65" t="n"/>
      <c r="BQ68" s="65" t="n"/>
      <c r="BR68" s="65" t="n"/>
      <c r="BS68" s="65" t="n"/>
      <c r="BT68" s="65" t="n"/>
      <c r="BU68" s="65" t="n"/>
      <c r="BV68" s="65" t="n"/>
      <c r="BW68" s="65" t="n"/>
      <c r="BX68" s="65" t="n"/>
      <c r="BY68" s="65" t="n"/>
      <c r="BZ68" s="65" t="n"/>
      <c r="CA68" s="65" t="n"/>
      <c r="CB68" s="65" t="n"/>
      <c r="CC68" s="65" t="n"/>
      <c r="CD68" s="65" t="n"/>
      <c r="CE68" s="65" t="n"/>
      <c r="CF68" s="65" t="n"/>
      <c r="CG68" s="65" t="n"/>
      <c r="CH68" s="65" t="n"/>
      <c r="CI68" s="65" t="n"/>
      <c r="CJ68" s="65" t="n"/>
      <c r="CK68" s="65" t="n"/>
      <c r="CL68" s="65" t="n"/>
      <c r="CM68" s="65" t="n"/>
      <c r="CN68" s="65" t="n"/>
      <c r="CO68" s="65" t="n"/>
      <c r="CP68" s="65" t="n"/>
      <c r="CQ68" s="65" t="n"/>
      <c r="CR68" s="65" t="n"/>
      <c r="CS68" s="65" t="n"/>
      <c r="CT68" s="65" t="n"/>
      <c r="CU68" s="65" t="n"/>
      <c r="CV68" s="65" t="n"/>
      <c r="CW68" s="65" t="n"/>
      <c r="CX68" s="65" t="n"/>
      <c r="CY68" s="65" t="n"/>
      <c r="CZ68" s="65" t="n"/>
      <c r="DA68" s="65" t="n"/>
      <c r="DB68" s="65" t="n"/>
      <c r="DC68" s="65" t="n"/>
      <c r="DD68" s="65" t="n"/>
      <c r="DE68" s="65" t="n"/>
      <c r="DF68" s="65" t="n"/>
      <c r="DG68" s="65" t="n"/>
      <c r="DH68" s="65" t="n"/>
      <c r="DI68" s="65" t="n"/>
      <c r="DJ68" s="65" t="n"/>
      <c r="DK68" s="65" t="n"/>
      <c r="DL68" s="65" t="n"/>
      <c r="DM68" s="65" t="n"/>
      <c r="DN68" s="65" t="n"/>
      <c r="DO68" s="65" t="n"/>
      <c r="DP68" s="65" t="n"/>
      <c r="DQ68" s="65" t="n"/>
      <c r="DR68" s="65" t="n"/>
      <c r="DS68" s="65" t="n"/>
      <c r="DT68" s="65" t="n"/>
      <c r="DU68" s="65" t="n"/>
      <c r="DV68" s="24">
        <f>SUM(BC68:DU68)</f>
        <v/>
      </c>
      <c r="DW68" s="24">
        <f>DV68*AU68</f>
        <v/>
      </c>
      <c r="DX68" s="24" t="n"/>
      <c r="DY68" s="7">
        <f>DW68*AY68</f>
        <v/>
      </c>
      <c r="DZ68" s="23">
        <f>DY68*1.06</f>
        <v/>
      </c>
      <c r="EA68" s="22">
        <f>IFERROR(DY68/AZ68,0)</f>
        <v/>
      </c>
      <c r="EB68" s="65" t="n"/>
      <c r="EC68" s="65" t="n"/>
      <c r="ED68" s="65" t="n"/>
      <c r="EE68" s="65" t="n"/>
      <c r="EF68" s="65" t="n"/>
      <c r="EG68" s="65" t="n"/>
      <c r="EH68" s="65" t="n"/>
      <c r="EI68" s="65" t="n"/>
      <c r="EJ68" s="65" t="n"/>
      <c r="EK68" s="65" t="n"/>
      <c r="EL68" s="65" t="n"/>
      <c r="EM68" s="65" t="n"/>
    </row>
    <row r="69" ht="13.15" customFormat="1" customHeight="1" s="12">
      <c r="A69" s="81" t="inlineStr">
        <is>
          <t>LVL</t>
        </is>
      </c>
      <c r="B69" s="355" t="n">
        <v>8</v>
      </c>
      <c r="C69" s="355" t="n"/>
      <c r="D69" s="355" t="n"/>
      <c r="E69" s="355" t="n"/>
      <c r="F69" s="355" t="n"/>
      <c r="G69" s="355" t="n"/>
      <c r="H69" s="355" t="n"/>
      <c r="I69" s="355" t="n"/>
      <c r="J69" s="355" t="n"/>
      <c r="K69" s="355" t="n">
        <v>-8</v>
      </c>
      <c r="L69" s="355" t="n"/>
      <c r="M69" s="355" t="n"/>
      <c r="N69" s="355" t="n"/>
      <c r="O69" s="355" t="n"/>
      <c r="P69" s="355" t="n"/>
      <c r="Q69" s="355" t="n"/>
      <c r="R69" s="355" t="n"/>
      <c r="S69" s="355" t="n"/>
      <c r="T69" s="355" t="n"/>
      <c r="U69" s="355" t="n"/>
      <c r="V69" s="355" t="n"/>
      <c r="W69" s="355" t="n"/>
      <c r="X69" s="355" t="n"/>
      <c r="Y69" s="355" t="n"/>
      <c r="Z69" s="355" t="n"/>
      <c r="AA69" s="355" t="n"/>
      <c r="AB69" s="355" t="n"/>
      <c r="AC69" s="355" t="n"/>
      <c r="AD69" s="355" t="n"/>
      <c r="AE69" s="355" t="n"/>
      <c r="AF69" s="355" t="n"/>
      <c r="AG69" s="355" t="n"/>
      <c r="AH69" s="355" t="n"/>
      <c r="AI69" s="355" t="n"/>
      <c r="AJ69" s="355" t="n"/>
      <c r="AK69" s="355" t="n"/>
      <c r="AL69" s="355" t="n"/>
      <c r="AM69" s="355" t="n"/>
      <c r="AN69" s="355" t="n"/>
      <c r="AO69" s="65" t="n"/>
      <c r="AP69" s="24">
        <f>SUM(D69:AO69)</f>
        <v/>
      </c>
      <c r="AQ69" s="24">
        <f>SUM(B69:AO69)</f>
        <v/>
      </c>
      <c r="AR69" s="70" t="inlineStr">
        <is>
          <t xml:space="preserve"> </t>
        </is>
      </c>
      <c r="AS69" s="70" t="inlineStr">
        <is>
          <t xml:space="preserve"> </t>
        </is>
      </c>
      <c r="AT69" s="355" t="n"/>
      <c r="AU69" s="355" t="n">
        <v>12</v>
      </c>
      <c r="AV69" s="357" t="inlineStr">
        <is>
          <t>1-3/4 X 11-7/8 LVL</t>
        </is>
      </c>
      <c r="AW69" s="65">
        <f>AQ69*AU69</f>
        <v/>
      </c>
      <c r="AX69" s="65" t="n"/>
      <c r="AY69" s="69" t="n">
        <v>6.85</v>
      </c>
      <c r="AZ69" s="7">
        <f>(AW69*AY69)</f>
        <v/>
      </c>
      <c r="BA69" s="68">
        <f>AZ69*1.06</f>
        <v/>
      </c>
      <c r="BB69" s="92" t="n"/>
      <c r="BC69" s="118" t="n"/>
      <c r="BD69" s="118" t="n"/>
      <c r="BE69" s="118" t="n"/>
      <c r="BF69" s="76" t="n"/>
      <c r="BG69" s="24" t="n"/>
      <c r="BH69" s="117" t="n"/>
      <c r="BI69" s="117" t="n"/>
      <c r="BJ69" s="74" t="n"/>
      <c r="BK69" s="24" t="n"/>
      <c r="BL69" s="116" t="n"/>
      <c r="BM69" s="65" t="n"/>
      <c r="BN69" s="65" t="n"/>
      <c r="BO69" s="65" t="n"/>
      <c r="BP69" s="65" t="n"/>
      <c r="BQ69" s="65" t="n"/>
      <c r="BR69" s="65" t="n"/>
      <c r="BS69" s="65" t="n"/>
      <c r="BT69" s="65" t="n"/>
      <c r="BU69" s="65" t="n"/>
      <c r="BV69" s="65" t="n"/>
      <c r="BW69" s="65" t="n"/>
      <c r="BX69" s="65" t="n"/>
      <c r="BY69" s="65" t="n"/>
      <c r="BZ69" s="65" t="n"/>
      <c r="CA69" s="65" t="n"/>
      <c r="CB69" s="65" t="n"/>
      <c r="CC69" s="65" t="n"/>
      <c r="CD69" s="65" t="n"/>
      <c r="CE69" s="65" t="n"/>
      <c r="CF69" s="65" t="n"/>
      <c r="CG69" s="65" t="n"/>
      <c r="CH69" s="65" t="n"/>
      <c r="CI69" s="65" t="n"/>
      <c r="CJ69" s="65" t="n"/>
      <c r="CK69" s="65" t="n"/>
      <c r="CL69" s="65" t="n"/>
      <c r="CM69" s="65" t="n"/>
      <c r="CN69" s="65" t="n"/>
      <c r="CO69" s="65" t="n"/>
      <c r="CP69" s="65" t="n"/>
      <c r="CQ69" s="65" t="n"/>
      <c r="CR69" s="65" t="n"/>
      <c r="CS69" s="65" t="n"/>
      <c r="CT69" s="65" t="n"/>
      <c r="CU69" s="65" t="n"/>
      <c r="CV69" s="65" t="n"/>
      <c r="CW69" s="65" t="n"/>
      <c r="CX69" s="65" t="n"/>
      <c r="CY69" s="65" t="n"/>
      <c r="CZ69" s="65" t="n"/>
      <c r="DA69" s="65" t="n"/>
      <c r="DB69" s="65" t="n"/>
      <c r="DC69" s="65" t="n"/>
      <c r="DD69" s="65" t="n"/>
      <c r="DE69" s="65" t="n"/>
      <c r="DF69" s="65" t="n"/>
      <c r="DG69" s="65" t="n"/>
      <c r="DH69" s="65" t="n"/>
      <c r="DI69" s="65" t="n"/>
      <c r="DJ69" s="65" t="n"/>
      <c r="DK69" s="65" t="n"/>
      <c r="DL69" s="65" t="n"/>
      <c r="DM69" s="65" t="n"/>
      <c r="DN69" s="65" t="n"/>
      <c r="DO69" s="65" t="n"/>
      <c r="DP69" s="65" t="n"/>
      <c r="DQ69" s="65" t="n"/>
      <c r="DR69" s="65" t="n"/>
      <c r="DS69" s="65" t="n"/>
      <c r="DT69" s="65" t="n"/>
      <c r="DU69" s="65" t="n"/>
      <c r="DV69" s="24">
        <f>SUM(BC69:DS69)</f>
        <v/>
      </c>
      <c r="DW69" s="24">
        <f>DV69*AU69</f>
        <v/>
      </c>
      <c r="DX69" s="24">
        <f>DV69*AU69</f>
        <v/>
      </c>
      <c r="DY69" s="7">
        <f>DW69*AY69</f>
        <v/>
      </c>
      <c r="DZ69" s="23">
        <f>DY69*1.07</f>
        <v/>
      </c>
      <c r="EA69" s="22">
        <f>IFERROR(DY69/AZ69,0)</f>
        <v/>
      </c>
      <c r="EB69" s="65" t="n"/>
      <c r="EC69" s="65" t="n"/>
      <c r="ED69" s="65" t="n"/>
      <c r="EE69" s="65">
        <f>IF(EB69&lt;&gt;"",EB69*ED69,0)</f>
        <v/>
      </c>
      <c r="EF69" s="65">
        <f>DV69-EE69</f>
        <v/>
      </c>
      <c r="EG69" s="65">
        <f>EF69*AU69</f>
        <v/>
      </c>
      <c r="EH69" s="65">
        <f>EF69</f>
        <v/>
      </c>
      <c r="EI69" s="65">
        <f>IFERROR(EH69/DV69,0)</f>
        <v/>
      </c>
      <c r="EJ69" s="65">
        <f>IFERROR(EH69*AY69/1000,0)</f>
        <v/>
      </c>
      <c r="EK69" s="65">
        <f>EJ69*1.07</f>
        <v/>
      </c>
      <c r="EL69" s="65" t="n"/>
      <c r="EM69" s="65" t="n"/>
    </row>
    <row r="70" ht="11.65" customFormat="1" customHeight="1" s="12">
      <c r="A70" s="81" t="inlineStr">
        <is>
          <t>LVL</t>
        </is>
      </c>
      <c r="B70" s="354" t="n">
        <v>25</v>
      </c>
      <c r="C70" s="354" t="n"/>
      <c r="D70" s="354" t="n"/>
      <c r="E70" s="354" t="n"/>
      <c r="F70" s="354" t="n"/>
      <c r="G70" s="354" t="n"/>
      <c r="H70" s="354" t="n"/>
      <c r="I70" s="354" t="n"/>
      <c r="J70" s="354" t="n"/>
      <c r="K70" s="354" t="n">
        <v>-25</v>
      </c>
      <c r="L70" s="354" t="n"/>
      <c r="M70" s="354" t="n"/>
      <c r="N70" s="354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  <c r="Y70" s="354" t="n"/>
      <c r="Z70" s="354" t="n"/>
      <c r="AA70" s="354" t="n"/>
      <c r="AB70" s="354" t="n"/>
      <c r="AC70" s="354" t="n"/>
      <c r="AD70" s="354" t="n"/>
      <c r="AE70" s="354" t="n"/>
      <c r="AF70" s="354" t="n"/>
      <c r="AG70" s="354" t="n"/>
      <c r="AH70" s="354" t="n"/>
      <c r="AI70" s="354" t="n"/>
      <c r="AJ70" s="354" t="n"/>
      <c r="AK70" s="354" t="n"/>
      <c r="AL70" s="354" t="n"/>
      <c r="AM70" s="354" t="n"/>
      <c r="AN70" s="354" t="n"/>
      <c r="AO70" s="34" t="n"/>
      <c r="AP70" s="24">
        <f>SUM(D70:AO70)</f>
        <v/>
      </c>
      <c r="AQ70" s="24">
        <f>SUM(B70:AO70)</f>
        <v/>
      </c>
      <c r="AR70" s="58" t="inlineStr">
        <is>
          <t xml:space="preserve"> </t>
        </is>
      </c>
      <c r="AS70" s="58" t="inlineStr">
        <is>
          <t xml:space="preserve"> </t>
        </is>
      </c>
      <c r="AT70" s="354" t="n"/>
      <c r="AU70" s="354" t="n">
        <v>10</v>
      </c>
      <c r="AV70" s="356" t="inlineStr">
        <is>
          <t>1-3/4 X 11-7/8 LVL</t>
        </is>
      </c>
      <c r="AW70" s="34">
        <f>AQ70*AU70</f>
        <v/>
      </c>
      <c r="AX70" s="34" t="n"/>
      <c r="AY70" s="57" t="n">
        <v>6.85</v>
      </c>
      <c r="AZ70" s="7">
        <f>(AW70*AY70)</f>
        <v/>
      </c>
      <c r="BA70" s="14">
        <f>AZ70*1.06</f>
        <v/>
      </c>
      <c r="BB70" s="56" t="n"/>
      <c r="BC70" s="114" t="n"/>
      <c r="BD70" s="114" t="n"/>
      <c r="BE70" s="114" t="n"/>
      <c r="BF70" s="43" t="n"/>
      <c r="BG70" s="24" t="n"/>
      <c r="BH70" s="24" t="n"/>
      <c r="BI70" s="24" t="n"/>
      <c r="BJ70" s="74" t="n"/>
      <c r="BK70" s="24" t="n"/>
      <c r="BL70" s="38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  <c r="BZ70" s="34" t="n"/>
      <c r="CA70" s="34" t="n"/>
      <c r="CB70" s="34" t="n"/>
      <c r="CC70" s="34" t="n"/>
      <c r="CD70" s="34" t="n"/>
      <c r="CE70" s="34" t="n"/>
      <c r="CF70" s="34" t="n"/>
      <c r="CG70" s="34" t="n"/>
      <c r="CH70" s="34" t="n"/>
      <c r="CI70" s="34" t="n"/>
      <c r="CJ70" s="34" t="n"/>
      <c r="CK70" s="34" t="n"/>
      <c r="CL70" s="34" t="n"/>
      <c r="CM70" s="34" t="n"/>
      <c r="CN70" s="34" t="n"/>
      <c r="CO70" s="34" t="n"/>
      <c r="CP70" s="34" t="n"/>
      <c r="CQ70" s="34" t="n"/>
      <c r="CR70" s="34" t="n"/>
      <c r="CS70" s="34" t="n"/>
      <c r="CT70" s="34" t="n"/>
      <c r="CU70" s="34" t="n"/>
      <c r="CV70" s="34" t="n"/>
      <c r="CW70" s="34" t="n"/>
      <c r="CX70" s="34" t="n"/>
      <c r="CY70" s="34" t="n"/>
      <c r="CZ70" s="34" t="n"/>
      <c r="DA70" s="34" t="n"/>
      <c r="DB70" s="34" t="n"/>
      <c r="DC70" s="34" t="n"/>
      <c r="DD70" s="34" t="n"/>
      <c r="DE70" s="34" t="n"/>
      <c r="DF70" s="34" t="n"/>
      <c r="DG70" s="34" t="n"/>
      <c r="DH70" s="34" t="n"/>
      <c r="DI70" s="34" t="n"/>
      <c r="DJ70" s="34" t="n"/>
      <c r="DK70" s="34" t="n"/>
      <c r="DL70" s="34" t="n"/>
      <c r="DM70" s="34" t="n"/>
      <c r="DN70" s="34" t="n"/>
      <c r="DO70" s="34" t="n"/>
      <c r="DP70" s="34" t="n"/>
      <c r="DQ70" s="34" t="n"/>
      <c r="DR70" s="34" t="n"/>
      <c r="DS70" s="34" t="n"/>
      <c r="DT70" s="34" t="n"/>
      <c r="DU70" s="34" t="n"/>
      <c r="DV70" s="24">
        <f>SUM(BC70:DS70)</f>
        <v/>
      </c>
      <c r="DW70" s="24">
        <f>DV70*AU70</f>
        <v/>
      </c>
      <c r="DX70" s="24">
        <f>DV70*AU70</f>
        <v/>
      </c>
      <c r="DY70" s="7">
        <f>DW70*AY70</f>
        <v/>
      </c>
      <c r="DZ70" s="23">
        <f>DY70*1.07</f>
        <v/>
      </c>
      <c r="EA70" s="22">
        <f>IFERROR(DY70/AZ70,0)</f>
        <v/>
      </c>
      <c r="EB70" s="34" t="n"/>
      <c r="EC70" s="34" t="n"/>
      <c r="ED70" s="34" t="n"/>
      <c r="EE70" s="34">
        <f>IF(EB70&lt;&gt;"",EB70*ED70,0)</f>
        <v/>
      </c>
      <c r="EF70" s="34">
        <f>DV70-EE70</f>
        <v/>
      </c>
      <c r="EG70" s="34">
        <f>EF70*AU70</f>
        <v/>
      </c>
      <c r="EH70" s="34">
        <f>EF70</f>
        <v/>
      </c>
      <c r="EI70" s="34">
        <f>IFERROR(EH70/DV70,0)</f>
        <v/>
      </c>
      <c r="EJ70" s="34">
        <f>IFERROR(EH70*AY70/1000,0)</f>
        <v/>
      </c>
      <c r="EK70" s="34">
        <f>EJ70*1.07</f>
        <v/>
      </c>
      <c r="EL70" s="34" t="n"/>
      <c r="EM70" s="34" t="n"/>
    </row>
    <row r="71" ht="11.65" customFormat="1" customHeight="1" s="12">
      <c r="A71" s="81" t="inlineStr">
        <is>
          <t>LVL</t>
        </is>
      </c>
      <c r="B71" s="354" t="n"/>
      <c r="C71" s="354" t="n">
        <v>-18</v>
      </c>
      <c r="D71" s="354" t="n"/>
      <c r="E71" s="354" t="n"/>
      <c r="F71" s="354" t="n"/>
      <c r="G71" s="354" t="n"/>
      <c r="H71" s="354" t="n"/>
      <c r="I71" s="354" t="n"/>
      <c r="J71" s="354" t="n"/>
      <c r="K71" s="354" t="n">
        <v>18</v>
      </c>
      <c r="L71" s="354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  <c r="Y71" s="354" t="n"/>
      <c r="Z71" s="354" t="n"/>
      <c r="AA71" s="354" t="n"/>
      <c r="AB71" s="354" t="n"/>
      <c r="AC71" s="354" t="n"/>
      <c r="AD71" s="354" t="n"/>
      <c r="AE71" s="354" t="n"/>
      <c r="AF71" s="354" t="n"/>
      <c r="AG71" s="354" t="n"/>
      <c r="AH71" s="354" t="n"/>
      <c r="AI71" s="354" t="n"/>
      <c r="AJ71" s="354" t="n"/>
      <c r="AK71" s="354" t="n"/>
      <c r="AL71" s="354" t="n"/>
      <c r="AM71" s="354" t="n"/>
      <c r="AN71" s="354" t="n"/>
      <c r="AO71" s="34" t="n"/>
      <c r="AP71" s="24">
        <f>SUM(D71:AO71)</f>
        <v/>
      </c>
      <c r="AQ71" s="24">
        <f>SUM(B71:AO71)</f>
        <v/>
      </c>
      <c r="AR71" s="58" t="n"/>
      <c r="AS71" s="58" t="n"/>
      <c r="AT71" s="354" t="n"/>
      <c r="AU71" s="354" t="n">
        <v>10</v>
      </c>
      <c r="AV71" s="356" t="inlineStr">
        <is>
          <t>1-3/4 X 11-7/8 LVL</t>
        </is>
      </c>
      <c r="AW71" s="34">
        <f>AQ71*AU71</f>
        <v/>
      </c>
      <c r="AX71" s="34" t="n"/>
      <c r="AY71" s="57" t="n">
        <v>5.65</v>
      </c>
      <c r="AZ71" s="7">
        <f>(AW71*AY71)</f>
        <v/>
      </c>
      <c r="BA71" s="14">
        <f>AZ71*1.06</f>
        <v/>
      </c>
      <c r="BB71" s="56" t="n"/>
      <c r="BC71" s="114" t="n"/>
      <c r="BD71" s="114" t="n"/>
      <c r="BE71" s="114" t="n"/>
      <c r="BF71" s="43" t="n"/>
      <c r="BG71" s="65" t="n"/>
      <c r="BH71" s="65" t="n"/>
      <c r="BI71" s="65" t="n"/>
      <c r="BJ71" s="76" t="n"/>
      <c r="BK71" s="24" t="n"/>
      <c r="BL71" s="38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  <c r="BZ71" s="34" t="n"/>
      <c r="CA71" s="34" t="n"/>
      <c r="CB71" s="34" t="n"/>
      <c r="CC71" s="34" t="n"/>
      <c r="CD71" s="34" t="n"/>
      <c r="CE71" s="34" t="n"/>
      <c r="CF71" s="34" t="n"/>
      <c r="CG71" s="34" t="n"/>
      <c r="CH71" s="34" t="n"/>
      <c r="CI71" s="34" t="n"/>
      <c r="CJ71" s="34" t="n"/>
      <c r="CK71" s="34" t="n"/>
      <c r="CL71" s="34" t="n"/>
      <c r="CM71" s="34" t="n"/>
      <c r="CN71" s="34" t="n"/>
      <c r="CO71" s="34" t="n"/>
      <c r="CP71" s="34" t="n"/>
      <c r="CQ71" s="34" t="n"/>
      <c r="CR71" s="34" t="n"/>
      <c r="CS71" s="34" t="n"/>
      <c r="CT71" s="34" t="n"/>
      <c r="CU71" s="34" t="n"/>
      <c r="CV71" s="34" t="n"/>
      <c r="CW71" s="34" t="n"/>
      <c r="CX71" s="34" t="n"/>
      <c r="CY71" s="34" t="n"/>
      <c r="CZ71" s="34" t="n"/>
      <c r="DA71" s="34" t="n"/>
      <c r="DB71" s="34" t="n"/>
      <c r="DC71" s="34" t="n"/>
      <c r="DD71" s="34" t="n"/>
      <c r="DE71" s="34" t="n"/>
      <c r="DF71" s="34" t="n"/>
      <c r="DG71" s="34" t="n"/>
      <c r="DH71" s="34" t="n"/>
      <c r="DI71" s="34" t="n"/>
      <c r="DJ71" s="34" t="n"/>
      <c r="DK71" s="34" t="n"/>
      <c r="DL71" s="34" t="n"/>
      <c r="DM71" s="34" t="n"/>
      <c r="DN71" s="34" t="n"/>
      <c r="DO71" s="34" t="n"/>
      <c r="DP71" s="34" t="n"/>
      <c r="DQ71" s="34" t="n"/>
      <c r="DR71" s="34" t="n"/>
      <c r="DS71" s="34" t="n"/>
      <c r="DT71" s="34" t="n"/>
      <c r="DU71" s="34" t="n"/>
      <c r="DV71" s="24">
        <f>SUM(BC71:DS71)</f>
        <v/>
      </c>
      <c r="DW71" s="24">
        <f>DV71*AU71</f>
        <v/>
      </c>
      <c r="DX71" s="24">
        <f>DV71*AU71</f>
        <v/>
      </c>
      <c r="DY71" s="7">
        <f>DW71*AY71</f>
        <v/>
      </c>
      <c r="DZ71" s="23">
        <f>DY71*1.07</f>
        <v/>
      </c>
      <c r="EA71" s="22">
        <f>IFERROR(DY71/AZ71,0)</f>
        <v/>
      </c>
      <c r="EB71" s="34" t="n"/>
      <c r="EC71" s="34" t="n"/>
      <c r="ED71" s="34" t="n"/>
      <c r="EE71" s="34">
        <f>IF(EB71&lt;&gt;"",EB71*ED71,0)</f>
        <v/>
      </c>
      <c r="EF71" s="34">
        <f>DV71-EE71</f>
        <v/>
      </c>
      <c r="EG71" s="34">
        <f>EF71*AU71</f>
        <v/>
      </c>
      <c r="EH71" s="34">
        <f>EF71</f>
        <v/>
      </c>
      <c r="EI71" s="34">
        <f>IFERROR(EH71/DV71,0)</f>
        <v/>
      </c>
      <c r="EJ71" s="34">
        <f>IFERROR(EH71*AY71/1000,0)</f>
        <v/>
      </c>
      <c r="EK71" s="34">
        <f>EJ71*1.07</f>
        <v/>
      </c>
      <c r="EL71" s="34" t="n"/>
      <c r="EM71" s="34" t="n"/>
    </row>
    <row r="72" ht="11.65" customFormat="1" customHeight="1" s="12">
      <c r="A72" s="81" t="inlineStr">
        <is>
          <t>LVL</t>
        </is>
      </c>
      <c r="B72" s="354" t="n"/>
      <c r="C72" s="354" t="n"/>
      <c r="D72" s="354" t="n"/>
      <c r="E72" s="354" t="n"/>
      <c r="F72" s="354" t="n"/>
      <c r="G72" s="354" t="n"/>
      <c r="H72" s="354" t="n"/>
      <c r="I72" s="354" t="n"/>
      <c r="J72" s="354" t="n"/>
      <c r="K72" s="354" t="n">
        <v>84</v>
      </c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  <c r="Y72" s="354" t="n"/>
      <c r="Z72" s="354" t="n"/>
      <c r="AA72" s="354" t="n"/>
      <c r="AB72" s="354" t="n"/>
      <c r="AC72" s="354" t="n"/>
      <c r="AD72" s="354" t="n"/>
      <c r="AE72" s="354" t="n"/>
      <c r="AF72" s="354" t="n"/>
      <c r="AG72" s="354" t="n"/>
      <c r="AH72" s="354" t="n"/>
      <c r="AI72" s="354" t="n"/>
      <c r="AJ72" s="354" t="n"/>
      <c r="AK72" s="354" t="n"/>
      <c r="AL72" s="354" t="n"/>
      <c r="AM72" s="354" t="n"/>
      <c r="AN72" s="354" t="n"/>
      <c r="AO72" s="34" t="n"/>
      <c r="AP72" s="24">
        <f>SUM(D72:AO72)</f>
        <v/>
      </c>
      <c r="AQ72" s="24">
        <f>SUM(B72:AO72)</f>
        <v/>
      </c>
      <c r="AR72" s="58" t="n"/>
      <c r="AS72" s="58" t="n"/>
      <c r="AT72" s="354" t="n"/>
      <c r="AU72" s="354" t="n">
        <v>18</v>
      </c>
      <c r="AV72" s="356" t="inlineStr">
        <is>
          <t>1-3/4 X 11-7/8 LVL</t>
        </is>
      </c>
      <c r="AW72" s="34">
        <f>AQ72*AU72</f>
        <v/>
      </c>
      <c r="AX72" s="34" t="n"/>
      <c r="AY72" s="57" t="n">
        <v>5.65</v>
      </c>
      <c r="AZ72" s="7">
        <f>(AW72*AY72)</f>
        <v/>
      </c>
      <c r="BA72" s="14">
        <f>AZ72*1.06</f>
        <v/>
      </c>
      <c r="BB72" s="56" t="n">
        <v>68981067</v>
      </c>
      <c r="BC72" s="114" t="n"/>
      <c r="BD72" s="114" t="n"/>
      <c r="BE72" s="114" t="n"/>
      <c r="BF72" s="43" t="n"/>
      <c r="BG72" s="65" t="n"/>
      <c r="BH72" s="65" t="n"/>
      <c r="BI72" s="65" t="n"/>
      <c r="BJ72" s="76" t="n"/>
      <c r="BK72" s="24" t="n"/>
      <c r="BL72" s="38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>
        <f>1512/18</f>
        <v/>
      </c>
      <c r="BV72" s="34" t="n"/>
      <c r="BW72" s="34" t="n"/>
      <c r="BX72" s="34" t="n"/>
      <c r="BY72" s="34" t="n"/>
      <c r="BZ72" s="34" t="n"/>
      <c r="CA72" s="34" t="n"/>
      <c r="CB72" s="34" t="n"/>
      <c r="CC72" s="34" t="n"/>
      <c r="CD72" s="34" t="n"/>
      <c r="CE72" s="34" t="n"/>
      <c r="CF72" s="34" t="n"/>
      <c r="CG72" s="34" t="n"/>
      <c r="CH72" s="34" t="n"/>
      <c r="CI72" s="34" t="n"/>
      <c r="CJ72" s="34" t="n"/>
      <c r="CK72" s="34" t="n"/>
      <c r="CL72" s="34" t="n"/>
      <c r="CM72" s="34" t="n"/>
      <c r="CN72" s="34" t="n"/>
      <c r="CO72" s="34" t="n"/>
      <c r="CP72" s="34" t="n"/>
      <c r="CQ72" s="34" t="n"/>
      <c r="CR72" s="34" t="n"/>
      <c r="CS72" s="34" t="n"/>
      <c r="CT72" s="34" t="n"/>
      <c r="CU72" s="34" t="n"/>
      <c r="CV72" s="34" t="n"/>
      <c r="CW72" s="34" t="n"/>
      <c r="CX72" s="34" t="n"/>
      <c r="CY72" s="34" t="n"/>
      <c r="CZ72" s="34" t="n"/>
      <c r="DA72" s="34" t="n"/>
      <c r="DB72" s="34" t="n"/>
      <c r="DC72" s="34" t="n"/>
      <c r="DD72" s="34" t="n"/>
      <c r="DE72" s="34" t="n"/>
      <c r="DF72" s="34" t="n"/>
      <c r="DG72" s="34" t="n"/>
      <c r="DH72" s="34" t="n"/>
      <c r="DI72" s="34" t="n"/>
      <c r="DJ72" s="34" t="n"/>
      <c r="DK72" s="34" t="n"/>
      <c r="DL72" s="34" t="n"/>
      <c r="DM72" s="34" t="n"/>
      <c r="DN72" s="34" t="n"/>
      <c r="DO72" s="34" t="n"/>
      <c r="DP72" s="34" t="n"/>
      <c r="DQ72" s="34" t="n"/>
      <c r="DR72" s="34" t="n"/>
      <c r="DS72" s="34" t="n"/>
      <c r="DT72" s="34" t="n"/>
      <c r="DU72" s="34" t="n"/>
      <c r="DV72" s="24">
        <f>SUM(BC72:DS72)</f>
        <v/>
      </c>
      <c r="DW72" s="24">
        <f>DV72*AU72</f>
        <v/>
      </c>
      <c r="DX72" s="24">
        <f>DV72*AU72</f>
        <v/>
      </c>
      <c r="DY72" s="7">
        <f>DW72*AY72</f>
        <v/>
      </c>
      <c r="DZ72" s="23">
        <f>DY72*1.07</f>
        <v/>
      </c>
      <c r="EA72" s="22">
        <f>IFERROR(DY72/AZ72,0)</f>
        <v/>
      </c>
      <c r="EB72" s="34" t="n"/>
      <c r="EC72" s="34" t="n"/>
      <c r="ED72" s="34" t="n"/>
      <c r="EE72" s="34">
        <f>IF(EB72&lt;&gt;"",EB72*ED72,0)</f>
        <v/>
      </c>
      <c r="EF72" s="34">
        <f>DV72-EE72</f>
        <v/>
      </c>
      <c r="EG72" s="34">
        <f>EF72*AU72</f>
        <v/>
      </c>
      <c r="EH72" s="34">
        <f>EF72</f>
        <v/>
      </c>
      <c r="EI72" s="34">
        <f>IFERROR(EH72/DV72,0)</f>
        <v/>
      </c>
      <c r="EJ72" s="34">
        <f>IFERROR(EH72*AY72/1000,0)</f>
        <v/>
      </c>
      <c r="EK72" s="34">
        <f>EJ72*1.07</f>
        <v/>
      </c>
      <c r="EL72" s="34" t="n"/>
      <c r="EM72" s="34" t="n"/>
    </row>
    <row r="73" ht="11.65" customFormat="1" customHeight="1" s="12">
      <c r="A73" s="81" t="inlineStr">
        <is>
          <t>LVL</t>
        </is>
      </c>
      <c r="B73" s="354" t="n"/>
      <c r="C73" s="354" t="n"/>
      <c r="D73" s="354" t="n"/>
      <c r="E73" s="354" t="n"/>
      <c r="F73" s="354" t="n"/>
      <c r="G73" s="354" t="n"/>
      <c r="H73" s="354" t="n"/>
      <c r="I73" s="354" t="n"/>
      <c r="J73" s="354" t="n">
        <v>97</v>
      </c>
      <c r="K73" s="354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  <c r="Y73" s="354" t="n"/>
      <c r="Z73" s="354" t="n"/>
      <c r="AA73" s="354" t="n"/>
      <c r="AB73" s="354" t="n"/>
      <c r="AC73" s="354" t="n"/>
      <c r="AD73" s="354" t="n"/>
      <c r="AE73" s="354" t="n"/>
      <c r="AF73" s="354" t="n"/>
      <c r="AG73" s="354" t="n"/>
      <c r="AH73" s="354" t="n"/>
      <c r="AI73" s="354" t="n"/>
      <c r="AJ73" s="354" t="n"/>
      <c r="AK73" s="354" t="n"/>
      <c r="AL73" s="354" t="n"/>
      <c r="AM73" s="354" t="n"/>
      <c r="AN73" s="354" t="n"/>
      <c r="AO73" s="34" t="n"/>
      <c r="AP73" s="24">
        <f>SUM(D73:AO73)</f>
        <v/>
      </c>
      <c r="AQ73" s="24">
        <f>SUM(B73:AO73)</f>
        <v/>
      </c>
      <c r="AR73" s="58" t="n"/>
      <c r="AS73" s="58" t="n"/>
      <c r="AT73" s="354" t="n"/>
      <c r="AU73" s="354" t="n">
        <v>18</v>
      </c>
      <c r="AV73" s="356" t="inlineStr">
        <is>
          <t>1-3/4 X 11-7/8 LVL</t>
        </is>
      </c>
      <c r="AW73" s="34">
        <f>AQ73*AU73</f>
        <v/>
      </c>
      <c r="AX73" s="34" t="n"/>
      <c r="AY73" s="57" t="n">
        <v>6.85</v>
      </c>
      <c r="AZ73" s="7">
        <f>(AW73*AY73)</f>
        <v/>
      </c>
      <c r="BA73" s="14">
        <f>AZ73*1.06</f>
        <v/>
      </c>
      <c r="BB73" s="56" t="n"/>
      <c r="BC73" s="114" t="n"/>
      <c r="BD73" s="114" t="n"/>
      <c r="BE73" s="114" t="n"/>
      <c r="BF73" s="43" t="n"/>
      <c r="BG73" s="65" t="n"/>
      <c r="BH73" s="65" t="n"/>
      <c r="BI73" s="65" t="n"/>
      <c r="BJ73" s="76" t="n"/>
      <c r="BK73" s="24" t="n"/>
      <c r="BL73" s="38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  <c r="BZ73" s="34" t="n"/>
      <c r="CA73" s="34" t="n"/>
      <c r="CB73" s="34" t="n"/>
      <c r="CC73" s="34" t="n"/>
      <c r="CD73" s="34" t="n"/>
      <c r="CE73" s="34" t="n"/>
      <c r="CF73" s="34" t="n"/>
      <c r="CG73" s="34" t="n"/>
      <c r="CH73" s="34" t="n"/>
      <c r="CI73" s="34" t="n"/>
      <c r="CJ73" s="34" t="n"/>
      <c r="CK73" s="34" t="n"/>
      <c r="CL73" s="34" t="n"/>
      <c r="CM73" s="34" t="n"/>
      <c r="CN73" s="34" t="n"/>
      <c r="CO73" s="34" t="n"/>
      <c r="CP73" s="34" t="n"/>
      <c r="CQ73" s="34" t="n"/>
      <c r="CR73" s="34" t="n"/>
      <c r="CS73" s="34" t="n"/>
      <c r="CT73" s="34" t="n"/>
      <c r="CU73" s="34" t="n"/>
      <c r="CV73" s="34" t="n"/>
      <c r="CW73" s="34" t="n"/>
      <c r="CX73" s="34" t="n"/>
      <c r="CY73" s="34" t="n"/>
      <c r="CZ73" s="34" t="n"/>
      <c r="DA73" s="34" t="n"/>
      <c r="DB73" s="34" t="n"/>
      <c r="DC73" s="34" t="n"/>
      <c r="DD73" s="34" t="n"/>
      <c r="DE73" s="34" t="n"/>
      <c r="DF73" s="34" t="n"/>
      <c r="DG73" s="34" t="n"/>
      <c r="DH73" s="34" t="n"/>
      <c r="DI73" s="34" t="n"/>
      <c r="DJ73" s="34" t="n"/>
      <c r="DK73" s="34" t="n"/>
      <c r="DL73" s="34" t="n"/>
      <c r="DM73" s="34" t="n"/>
      <c r="DN73" s="34" t="n"/>
      <c r="DO73" s="34" t="n"/>
      <c r="DP73" s="34" t="n"/>
      <c r="DQ73" s="34" t="n"/>
      <c r="DR73" s="34" t="n"/>
      <c r="DS73" s="34" t="n"/>
      <c r="DT73" s="34" t="n"/>
      <c r="DU73" s="34" t="n"/>
      <c r="DV73" s="24">
        <f>SUM(BC73:DS73)</f>
        <v/>
      </c>
      <c r="DW73" s="24">
        <f>DV73*AU73</f>
        <v/>
      </c>
      <c r="DX73" s="24">
        <f>DV73*AU73</f>
        <v/>
      </c>
      <c r="DY73" s="7">
        <f>DW73*AY73</f>
        <v/>
      </c>
      <c r="DZ73" s="23">
        <f>DY73*1.07</f>
        <v/>
      </c>
      <c r="EA73" s="22">
        <f>IFERROR(DY73/AZ73,0)</f>
        <v/>
      </c>
      <c r="EB73" s="34" t="n"/>
      <c r="EC73" s="34" t="n"/>
      <c r="ED73" s="34" t="n"/>
      <c r="EE73" s="34">
        <f>IF(EB73&lt;&gt;"",EB73*ED73,0)</f>
        <v/>
      </c>
      <c r="EF73" s="34">
        <f>DV73-EE73</f>
        <v/>
      </c>
      <c r="EG73" s="34">
        <f>EF73*AU73</f>
        <v/>
      </c>
      <c r="EH73" s="34">
        <f>EF73</f>
        <v/>
      </c>
      <c r="EI73" s="34">
        <f>IFERROR(EH73/DV73,0)</f>
        <v/>
      </c>
      <c r="EJ73" s="34">
        <f>IFERROR(EH73*AY73/1000,0)</f>
        <v/>
      </c>
      <c r="EK73" s="34">
        <f>EJ73*1.07</f>
        <v/>
      </c>
      <c r="EL73" s="34" t="n"/>
      <c r="EM73" s="34" t="n"/>
    </row>
    <row r="74" ht="11.65" customFormat="1" customHeight="1" s="12">
      <c r="A74" s="81" t="inlineStr">
        <is>
          <t>LVL</t>
        </is>
      </c>
      <c r="B74" s="354" t="n"/>
      <c r="C74" s="354" t="n"/>
      <c r="D74" s="354" t="n"/>
      <c r="E74" s="354" t="n"/>
      <c r="F74" s="354" t="n"/>
      <c r="G74" s="354" t="n"/>
      <c r="H74" s="354" t="n"/>
      <c r="I74" s="354" t="n"/>
      <c r="J74" s="354" t="n"/>
      <c r="K74" s="354" t="n">
        <v>26</v>
      </c>
      <c r="L74" s="354" t="n"/>
      <c r="M74" s="354" t="n"/>
      <c r="N74" s="354" t="n"/>
      <c r="O74" s="354" t="n"/>
      <c r="P74" s="354" t="n"/>
      <c r="Q74" s="354" t="n"/>
      <c r="R74" s="354" t="n"/>
      <c r="S74" s="354" t="n"/>
      <c r="T74" s="354" t="n"/>
      <c r="U74" s="354" t="n"/>
      <c r="V74" s="354" t="n"/>
      <c r="W74" s="354" t="n"/>
      <c r="X74" s="354" t="n"/>
      <c r="Y74" s="354" t="n"/>
      <c r="Z74" s="354" t="n"/>
      <c r="AA74" s="354" t="n"/>
      <c r="AB74" s="354" t="n"/>
      <c r="AC74" s="354" t="n"/>
      <c r="AD74" s="354" t="n"/>
      <c r="AE74" s="354" t="n"/>
      <c r="AF74" s="354" t="n"/>
      <c r="AG74" s="354" t="n"/>
      <c r="AH74" s="354" t="n"/>
      <c r="AI74" s="354" t="n"/>
      <c r="AJ74" s="354" t="n"/>
      <c r="AK74" s="354" t="n"/>
      <c r="AL74" s="354" t="n"/>
      <c r="AM74" s="354" t="n"/>
      <c r="AN74" s="354" t="n"/>
      <c r="AO74" s="34" t="n"/>
      <c r="AP74" s="24">
        <f>SUM(D74:AO74)</f>
        <v/>
      </c>
      <c r="AQ74" s="24">
        <f>SUM(B74:AO74)</f>
        <v/>
      </c>
      <c r="AR74" s="58" t="n"/>
      <c r="AS74" s="58" t="n"/>
      <c r="AT74" s="354" t="n"/>
      <c r="AU74" s="354" t="n">
        <v>26</v>
      </c>
      <c r="AV74" s="356" t="inlineStr">
        <is>
          <t>1-3/4 X 5-1/2 LVL</t>
        </is>
      </c>
      <c r="AW74" s="34">
        <f>AQ74*AU74</f>
        <v/>
      </c>
      <c r="AX74" s="34" t="n"/>
      <c r="AY74" s="57" t="n">
        <v>3</v>
      </c>
      <c r="AZ74" s="7">
        <f>(AW74*AY74)</f>
        <v/>
      </c>
      <c r="BA74" s="14">
        <f>AZ74*1.06</f>
        <v/>
      </c>
      <c r="BB74" s="24" t="n">
        <v>68981067</v>
      </c>
      <c r="BC74" s="43" t="n"/>
      <c r="BD74" s="43" t="n"/>
      <c r="BE74" s="43" t="n"/>
      <c r="BF74" s="43" t="n"/>
      <c r="BG74" s="105" t="n"/>
      <c r="BH74" s="105" t="n"/>
      <c r="BI74" s="105" t="n"/>
      <c r="BJ74" s="115" t="n"/>
      <c r="BK74" s="34" t="n"/>
      <c r="BL74" s="38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>
        <f>676/26</f>
        <v/>
      </c>
      <c r="BV74" s="34" t="n"/>
      <c r="BW74" s="34" t="n"/>
      <c r="BX74" s="34" t="n"/>
      <c r="BY74" s="34" t="n"/>
      <c r="BZ74" s="34" t="n"/>
      <c r="CA74" s="34" t="n"/>
      <c r="CB74" s="34" t="n"/>
      <c r="CC74" s="34" t="n"/>
      <c r="CD74" s="34" t="n"/>
      <c r="CE74" s="34" t="n"/>
      <c r="CF74" s="34" t="n"/>
      <c r="CG74" s="34" t="n"/>
      <c r="CH74" s="34" t="n"/>
      <c r="CI74" s="34" t="n"/>
      <c r="CJ74" s="34" t="n"/>
      <c r="CK74" s="34" t="n"/>
      <c r="CL74" s="34" t="n"/>
      <c r="CM74" s="34" t="n"/>
      <c r="CN74" s="34" t="n"/>
      <c r="CO74" s="34" t="n"/>
      <c r="CP74" s="34" t="n"/>
      <c r="CQ74" s="34" t="n"/>
      <c r="CR74" s="34" t="n"/>
      <c r="CS74" s="34" t="n"/>
      <c r="CT74" s="34" t="n"/>
      <c r="CU74" s="34" t="n"/>
      <c r="CV74" s="34" t="n"/>
      <c r="CW74" s="34" t="n"/>
      <c r="CX74" s="34" t="n"/>
      <c r="CY74" s="34" t="n"/>
      <c r="CZ74" s="34" t="n"/>
      <c r="DA74" s="34" t="n"/>
      <c r="DB74" s="34" t="n"/>
      <c r="DC74" s="34" t="n"/>
      <c r="DD74" s="34" t="n"/>
      <c r="DE74" s="34" t="n"/>
      <c r="DF74" s="34" t="n"/>
      <c r="DG74" s="34" t="n"/>
      <c r="DH74" s="34" t="n"/>
      <c r="DI74" s="34" t="n"/>
      <c r="DJ74" s="34" t="n"/>
      <c r="DK74" s="34" t="n"/>
      <c r="DL74" s="34" t="n"/>
      <c r="DM74" s="34" t="n"/>
      <c r="DN74" s="34" t="n"/>
      <c r="DO74" s="34" t="n"/>
      <c r="DP74" s="34" t="n"/>
      <c r="DQ74" s="34" t="n"/>
      <c r="DR74" s="34" t="n"/>
      <c r="DS74" s="34" t="n"/>
      <c r="DT74" s="34" t="n"/>
      <c r="DU74" s="34" t="n"/>
      <c r="DV74" s="24">
        <f>SUM(BC74:DS74)</f>
        <v/>
      </c>
      <c r="DW74" s="24">
        <f>DV74*AU74</f>
        <v/>
      </c>
      <c r="DX74" s="24">
        <f>DV74*AU74</f>
        <v/>
      </c>
      <c r="DY74" s="7">
        <f>DW74*AY74</f>
        <v/>
      </c>
      <c r="DZ74" s="23">
        <f>DY74*1.07</f>
        <v/>
      </c>
      <c r="EA74" s="22">
        <f>IFERROR(DY74/AZ74,0)</f>
        <v/>
      </c>
      <c r="EB74" s="34" t="n"/>
      <c r="EC74" s="34" t="n"/>
      <c r="ED74" s="34" t="n"/>
      <c r="EE74" s="34">
        <f>IF(EB74&lt;&gt;"",EB74*ED74,0)</f>
        <v/>
      </c>
      <c r="EF74" s="34">
        <f>DV74-EE74</f>
        <v/>
      </c>
      <c r="EG74" s="34">
        <f>EF74*AU74</f>
        <v/>
      </c>
      <c r="EH74" s="34">
        <f>EF74</f>
        <v/>
      </c>
      <c r="EI74" s="34">
        <f>IFERROR(EH74/DV74,0)</f>
        <v/>
      </c>
      <c r="EJ74" s="34">
        <f>IFERROR(EH74*AY74/1000,0)</f>
        <v/>
      </c>
      <c r="EK74" s="34">
        <f>EJ74*1.07</f>
        <v/>
      </c>
      <c r="EL74" s="34" t="n"/>
      <c r="EM74" s="34" t="n"/>
    </row>
    <row r="75" ht="11.65" customFormat="1" customHeight="1" s="12">
      <c r="A75" s="81" t="inlineStr">
        <is>
          <t>LVL</t>
        </is>
      </c>
      <c r="B75" s="354" t="n"/>
      <c r="C75" s="354">
        <f>-665-1575</f>
        <v/>
      </c>
      <c r="D75" s="354" t="n"/>
      <c r="E75" s="354" t="n"/>
      <c r="F75" s="354" t="n"/>
      <c r="G75" s="354" t="n"/>
      <c r="H75" s="354" t="n"/>
      <c r="I75" s="354" t="n"/>
      <c r="J75" s="354" t="n"/>
      <c r="K75" s="354">
        <f>665+1575</f>
        <v/>
      </c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  <c r="Y75" s="354" t="n"/>
      <c r="Z75" s="354" t="n"/>
      <c r="AA75" s="354" t="n"/>
      <c r="AB75" s="354" t="n"/>
      <c r="AC75" s="354" t="n"/>
      <c r="AD75" s="354" t="n"/>
      <c r="AE75" s="354" t="n"/>
      <c r="AF75" s="354" t="n"/>
      <c r="AG75" s="354" t="n"/>
      <c r="AH75" s="354" t="n"/>
      <c r="AI75" s="354" t="n"/>
      <c r="AJ75" s="354" t="n"/>
      <c r="AK75" s="354" t="n"/>
      <c r="AL75" s="354" t="n"/>
      <c r="AM75" s="354" t="n"/>
      <c r="AN75" s="354" t="n"/>
      <c r="AO75" s="34" t="n"/>
      <c r="AP75" s="24">
        <f>SUM(D75:AO75)</f>
        <v/>
      </c>
      <c r="AQ75" s="24">
        <f>SUM(B75:AO75)</f>
        <v/>
      </c>
      <c r="AR75" s="58" t="n"/>
      <c r="AS75" s="58" t="n"/>
      <c r="AT75" s="354" t="n"/>
      <c r="AU75" s="354" t="n">
        <v>1</v>
      </c>
      <c r="AV75" s="29" t="inlineStr">
        <is>
          <t>1-3/4 X 9-1/4 LSL/LVL</t>
        </is>
      </c>
      <c r="AW75" s="34">
        <f>AQ75*AU75</f>
        <v/>
      </c>
      <c r="AX75" s="34" t="n"/>
      <c r="AY75" s="57" t="n">
        <v>4.45</v>
      </c>
      <c r="AZ75" s="7">
        <f>(AW75*AY75)</f>
        <v/>
      </c>
      <c r="BA75" s="14">
        <f>AZ75*1.06</f>
        <v/>
      </c>
      <c r="BB75" s="56" t="n"/>
      <c r="BC75" s="114" t="n"/>
      <c r="BD75" s="114" t="n"/>
      <c r="BE75" s="114" t="n"/>
      <c r="BF75" s="43" t="n"/>
      <c r="BG75" s="24" t="n"/>
      <c r="BH75" s="24" t="n"/>
      <c r="BI75" s="24" t="n"/>
      <c r="BJ75" s="24" t="n"/>
      <c r="BK75" s="24" t="n"/>
      <c r="BL75" s="38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4" t="n"/>
      <c r="BZ75" s="34" t="n"/>
      <c r="CA75" s="34" t="n"/>
      <c r="CB75" s="34" t="n"/>
      <c r="CC75" s="34" t="n"/>
      <c r="CD75" s="34" t="n"/>
      <c r="CE75" s="34" t="n"/>
      <c r="CF75" s="34" t="n"/>
      <c r="CG75" s="34" t="n"/>
      <c r="CH75" s="34" t="n"/>
      <c r="CI75" s="34" t="n"/>
      <c r="CJ75" s="34" t="n"/>
      <c r="CK75" s="34" t="n"/>
      <c r="CL75" s="34" t="n"/>
      <c r="CM75" s="34" t="n"/>
      <c r="CN75" s="34" t="n"/>
      <c r="CO75" s="34" t="n"/>
      <c r="CP75" s="34" t="n"/>
      <c r="CQ75" s="34" t="n"/>
      <c r="CR75" s="34" t="n"/>
      <c r="CS75" s="34" t="n"/>
      <c r="CT75" s="34" t="n"/>
      <c r="CU75" s="34" t="n"/>
      <c r="CV75" s="34" t="n"/>
      <c r="CW75" s="34" t="n"/>
      <c r="CX75" s="34" t="n"/>
      <c r="CY75" s="34" t="n"/>
      <c r="CZ75" s="34" t="n"/>
      <c r="DA75" s="34" t="n"/>
      <c r="DB75" s="34" t="n"/>
      <c r="DC75" s="34" t="n"/>
      <c r="DD75" s="34" t="n"/>
      <c r="DE75" s="34" t="n"/>
      <c r="DF75" s="34" t="n"/>
      <c r="DG75" s="34" t="n"/>
      <c r="DH75" s="34" t="n"/>
      <c r="DI75" s="34" t="n"/>
      <c r="DJ75" s="34" t="n"/>
      <c r="DK75" s="34" t="n"/>
      <c r="DL75" s="34" t="n"/>
      <c r="DM75" s="34" t="n"/>
      <c r="DN75" s="34" t="n"/>
      <c r="DO75" s="34" t="n"/>
      <c r="DP75" s="34" t="n"/>
      <c r="DQ75" s="34" t="n"/>
      <c r="DR75" s="34" t="n"/>
      <c r="DS75" s="34" t="n"/>
      <c r="DT75" s="34" t="n"/>
      <c r="DU75" s="34" t="n"/>
      <c r="DV75" s="24">
        <f>SUM(BC75:DS75)</f>
        <v/>
      </c>
      <c r="DW75" s="24">
        <f>DV75*AU75</f>
        <v/>
      </c>
      <c r="DX75" s="24">
        <f>DV75*AU75</f>
        <v/>
      </c>
      <c r="DY75" s="7">
        <f>DW75*AY75</f>
        <v/>
      </c>
      <c r="DZ75" s="23">
        <f>DY75*1.07</f>
        <v/>
      </c>
      <c r="EA75" s="22">
        <f>IFERROR(DY75/AZ75,0)</f>
        <v/>
      </c>
      <c r="EB75" s="34" t="n"/>
      <c r="EC75" s="34" t="n"/>
      <c r="ED75" s="34" t="n"/>
      <c r="EE75" s="34">
        <f>IF(EB75&lt;&gt;"",EB75*ED75,0)</f>
        <v/>
      </c>
      <c r="EF75" s="34">
        <f>DV75-EE75</f>
        <v/>
      </c>
      <c r="EG75" s="34">
        <f>EF75*AU75</f>
        <v/>
      </c>
      <c r="EH75" s="34">
        <f>EF75</f>
        <v/>
      </c>
      <c r="EI75" s="34">
        <f>IFERROR(EH75/DV75,0)</f>
        <v/>
      </c>
      <c r="EJ75" s="34">
        <f>IFERROR(EH75*AY75/1000,0)</f>
        <v/>
      </c>
      <c r="EK75" s="34">
        <f>EJ75*1.07</f>
        <v/>
      </c>
      <c r="EL75" s="34" t="n"/>
      <c r="EM75" s="34" t="n"/>
    </row>
    <row r="76" ht="11.65" customFormat="1" customHeight="1" s="12">
      <c r="A76" s="81" t="inlineStr">
        <is>
          <t>LVL</t>
        </is>
      </c>
      <c r="B76" s="30" t="n">
        <v>3765</v>
      </c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>
        <v>-3765</v>
      </c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0" t="n"/>
      <c r="AK76" s="30" t="n"/>
      <c r="AL76" s="30" t="n"/>
      <c r="AM76" s="30" t="n"/>
      <c r="AN76" s="30" t="n"/>
      <c r="AO76" s="24" t="n"/>
      <c r="AP76" s="24">
        <f>SUM(D76:AO76)</f>
        <v/>
      </c>
      <c r="AQ76" s="24">
        <f>SUM(B76:AO76)</f>
        <v/>
      </c>
      <c r="AR76" s="63" t="inlineStr">
        <is>
          <t xml:space="preserve"> </t>
        </is>
      </c>
      <c r="AS76" s="63" t="inlineStr">
        <is>
          <t xml:space="preserve"> </t>
        </is>
      </c>
      <c r="AT76" s="30" t="n"/>
      <c r="AU76" s="30" t="n">
        <v>1</v>
      </c>
      <c r="AV76" s="29" t="inlineStr">
        <is>
          <t>1-3/4 X 9-1/4 LSL/LVL</t>
        </is>
      </c>
      <c r="AW76" s="24">
        <f>AQ76*AU76</f>
        <v/>
      </c>
      <c r="AX76" s="24" t="n"/>
      <c r="AY76" s="62" t="n">
        <v>5.5</v>
      </c>
      <c r="AZ76" s="7">
        <f>(AW76*AY76)</f>
        <v/>
      </c>
      <c r="BA76" s="7">
        <f>AZ76*1.06</f>
        <v/>
      </c>
      <c r="BB76" s="53" t="n"/>
      <c r="BC76" s="53" t="n"/>
      <c r="BD76" s="53" t="n"/>
      <c r="BE76" s="53" t="n"/>
      <c r="BF76" s="24" t="n"/>
      <c r="BG76" s="65" t="n"/>
      <c r="BH76" s="65" t="n"/>
      <c r="BI76" s="65" t="n"/>
      <c r="BJ76" s="76" t="n"/>
      <c r="BK76" s="65" t="n"/>
      <c r="BL76" s="103" t="n"/>
      <c r="BM76" s="24" t="n"/>
      <c r="BN76" s="24" t="n"/>
      <c r="BO76" s="24" t="n"/>
      <c r="BP76" s="24" t="n"/>
      <c r="BQ76" s="24" t="n"/>
      <c r="BR76" s="24" t="n"/>
      <c r="BS76" s="24" t="n"/>
      <c r="BT76" s="24" t="n"/>
      <c r="BU76" s="24" t="n"/>
      <c r="BV76" s="24" t="n"/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n"/>
      <c r="DK76" s="24" t="n"/>
      <c r="DL76" s="24" t="n"/>
      <c r="DM76" s="24" t="n"/>
      <c r="DN76" s="24" t="n"/>
      <c r="DO76" s="24" t="n"/>
      <c r="DP76" s="24" t="n"/>
      <c r="DQ76" s="24" t="n"/>
      <c r="DR76" s="24" t="n"/>
      <c r="DS76" s="24" t="n"/>
      <c r="DT76" s="24" t="n"/>
      <c r="DU76" s="24" t="n"/>
      <c r="DV76" s="24">
        <f>SUM(BC76:DS76)</f>
        <v/>
      </c>
      <c r="DW76" s="24">
        <f>DV76*AU76</f>
        <v/>
      </c>
      <c r="DX76" s="24">
        <f>DV76*AU76</f>
        <v/>
      </c>
      <c r="DY76" s="7">
        <f>DW76*AY76</f>
        <v/>
      </c>
      <c r="DZ76" s="23">
        <f>DY76*1.07</f>
        <v/>
      </c>
      <c r="EA76" s="22">
        <f>IFERROR(DY76/AZ76,0)</f>
        <v/>
      </c>
      <c r="EB76" s="24" t="n"/>
      <c r="EC76" s="24" t="n"/>
      <c r="ED76" s="24" t="n"/>
      <c r="EE76" s="24">
        <f>IF(EB76&lt;&gt;"",EB76*ED76,0)</f>
        <v/>
      </c>
      <c r="EF76" s="24">
        <f>DV76-EE76</f>
        <v/>
      </c>
      <c r="EG76" s="24">
        <f>EF76*AU76</f>
        <v/>
      </c>
      <c r="EH76" s="24">
        <f>EF76</f>
        <v/>
      </c>
      <c r="EI76" s="24">
        <f>IFERROR(EH76/DV76,0)</f>
        <v/>
      </c>
      <c r="EJ76" s="24">
        <f>IFERROR(EH76*AY76/1000,0)</f>
        <v/>
      </c>
      <c r="EK76" s="24">
        <f>EJ76*1.07</f>
        <v/>
      </c>
      <c r="EL76" s="24" t="n"/>
      <c r="EM76" s="24" t="n"/>
    </row>
    <row r="77" ht="11.65" customFormat="1" customHeight="1" s="12">
      <c r="A77" s="81" t="inlineStr">
        <is>
          <t>LVL</t>
        </is>
      </c>
      <c r="B77" s="30" t="n">
        <v>79</v>
      </c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>
        <v>-79</v>
      </c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0" t="n"/>
      <c r="AK77" s="30" t="n"/>
      <c r="AL77" s="30" t="n"/>
      <c r="AM77" s="30" t="n"/>
      <c r="AN77" s="30" t="n"/>
      <c r="AO77" s="24" t="n"/>
      <c r="AP77" s="24">
        <f>SUM(D77:AO77)</f>
        <v/>
      </c>
      <c r="AQ77" s="24">
        <f>SUM(B77:AO77)</f>
        <v/>
      </c>
      <c r="AR77" s="63" t="inlineStr">
        <is>
          <t xml:space="preserve"> </t>
        </is>
      </c>
      <c r="AS77" s="63" t="inlineStr">
        <is>
          <t xml:space="preserve"> </t>
        </is>
      </c>
      <c r="AT77" s="30" t="n"/>
      <c r="AU77" s="30" t="n">
        <v>10</v>
      </c>
      <c r="AV77" s="29" t="inlineStr">
        <is>
          <t>1-3/4 X 9-1/4 LSL/LVL</t>
        </is>
      </c>
      <c r="AW77" s="24">
        <f>AQ77*AU77</f>
        <v/>
      </c>
      <c r="AX77" s="24" t="n"/>
      <c r="AY77" s="62" t="n">
        <v>5.5</v>
      </c>
      <c r="AZ77" s="7">
        <f>(AW77*AY77)</f>
        <v/>
      </c>
      <c r="BA77" s="7">
        <f>AZ77*1.06</f>
        <v/>
      </c>
      <c r="BB77" s="53" t="n"/>
      <c r="BC77" s="53" t="n"/>
      <c r="BD77" s="53" t="n"/>
      <c r="BE77" s="53" t="n"/>
      <c r="BF77" s="24" t="n"/>
      <c r="BG77" s="24" t="n"/>
      <c r="BH77" s="24" t="n"/>
      <c r="BI77" s="24" t="n"/>
      <c r="BJ77" s="74" t="n"/>
      <c r="BK77" s="24" t="n"/>
      <c r="BL77" s="103" t="n"/>
      <c r="BM77" s="24" t="n"/>
      <c r="BN77" s="24" t="n"/>
      <c r="BO77" s="24" t="n"/>
      <c r="BP77" s="24" t="n"/>
      <c r="BQ77" s="24" t="n"/>
      <c r="BR77" s="24" t="n"/>
      <c r="BS77" s="24" t="n"/>
      <c r="BT77" s="24" t="n"/>
      <c r="BU77" s="24" t="n"/>
      <c r="BV77" s="24" t="n"/>
      <c r="BW77" s="24" t="n"/>
      <c r="BX77" s="24" t="n"/>
      <c r="BY77" s="24" t="n"/>
      <c r="BZ77" s="24" t="n"/>
      <c r="CA77" s="24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n"/>
      <c r="DK77" s="24" t="n"/>
      <c r="DL77" s="24" t="n"/>
      <c r="DM77" s="24" t="n"/>
      <c r="DN77" s="24" t="n"/>
      <c r="DO77" s="24" t="n"/>
      <c r="DP77" s="24" t="n"/>
      <c r="DQ77" s="24" t="n"/>
      <c r="DR77" s="24" t="n"/>
      <c r="DS77" s="24" t="n"/>
      <c r="DT77" s="24" t="n"/>
      <c r="DU77" s="24" t="n"/>
      <c r="DV77" s="24">
        <f>SUM(BC77:DS77)</f>
        <v/>
      </c>
      <c r="DW77" s="24">
        <f>DV77*AU77</f>
        <v/>
      </c>
      <c r="DX77" s="24">
        <f>DV77*AU77</f>
        <v/>
      </c>
      <c r="DY77" s="7">
        <f>DW77*AY77</f>
        <v/>
      </c>
      <c r="DZ77" s="23">
        <f>DY77*1.07</f>
        <v/>
      </c>
      <c r="EA77" s="22">
        <f>IFERROR(DY77/AZ77,0)</f>
        <v/>
      </c>
      <c r="EB77" s="24" t="n"/>
      <c r="EC77" s="24" t="n"/>
      <c r="ED77" s="24" t="n"/>
      <c r="EE77" s="24">
        <f>IF(EB77&lt;&gt;"",EB77*ED77,0)</f>
        <v/>
      </c>
      <c r="EF77" s="24">
        <f>DV77-EE77</f>
        <v/>
      </c>
      <c r="EG77" s="24">
        <f>EF77*AU77</f>
        <v/>
      </c>
      <c r="EH77" s="24">
        <f>EF77</f>
        <v/>
      </c>
      <c r="EI77" s="24">
        <f>IFERROR(EH77/DV77,0)</f>
        <v/>
      </c>
      <c r="EJ77" s="24">
        <f>IFERROR(EH77*AY77/1000,0)</f>
        <v/>
      </c>
      <c r="EK77" s="24">
        <f>EJ77*1.07</f>
        <v/>
      </c>
      <c r="EL77" s="24" t="n"/>
      <c r="EM77" s="24" t="n"/>
    </row>
    <row r="78" ht="11.65" customFormat="1" customHeight="1" s="12">
      <c r="A78" s="81" t="inlineStr">
        <is>
          <t>LVL</t>
        </is>
      </c>
      <c r="B78" s="354" t="n"/>
      <c r="C78" s="354" t="n">
        <v>-12</v>
      </c>
      <c r="D78" s="354" t="n"/>
      <c r="E78" s="354" t="n"/>
      <c r="F78" s="354" t="n"/>
      <c r="G78" s="354" t="n"/>
      <c r="H78" s="354" t="n"/>
      <c r="I78" s="354" t="n"/>
      <c r="J78" s="354" t="n"/>
      <c r="K78" s="354" t="n">
        <v>12</v>
      </c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  <c r="Y78" s="354" t="n"/>
      <c r="Z78" s="354" t="n"/>
      <c r="AA78" s="354" t="n"/>
      <c r="AB78" s="354" t="n"/>
      <c r="AC78" s="354" t="n"/>
      <c r="AD78" s="354" t="n"/>
      <c r="AE78" s="354" t="n"/>
      <c r="AF78" s="354" t="n"/>
      <c r="AG78" s="354" t="n"/>
      <c r="AH78" s="354" t="n"/>
      <c r="AI78" s="354" t="n"/>
      <c r="AJ78" s="354" t="n"/>
      <c r="AK78" s="354" t="n"/>
      <c r="AL78" s="354" t="n"/>
      <c r="AM78" s="354" t="n"/>
      <c r="AN78" s="354" t="n"/>
      <c r="AO78" s="34" t="n"/>
      <c r="AP78" s="24">
        <f>SUM(D78:AO78)</f>
        <v/>
      </c>
      <c r="AQ78" s="24">
        <f>SUM(B78:AO78)</f>
        <v/>
      </c>
      <c r="AR78" s="63" t="inlineStr">
        <is>
          <t xml:space="preserve"> </t>
        </is>
      </c>
      <c r="AS78" s="63" t="inlineStr">
        <is>
          <t xml:space="preserve"> </t>
        </is>
      </c>
      <c r="AT78" s="30" t="n"/>
      <c r="AU78" s="30" t="n">
        <v>10</v>
      </c>
      <c r="AV78" s="29" t="inlineStr">
        <is>
          <t>1-3/4 X 9-1/4 LSL/LVL</t>
        </is>
      </c>
      <c r="AW78" s="24">
        <f>AQ78*AU78</f>
        <v/>
      </c>
      <c r="AX78" s="24" t="n"/>
      <c r="AY78" s="62" t="n">
        <v>4.45</v>
      </c>
      <c r="AZ78" s="7">
        <f>(AW78*AY78)</f>
        <v/>
      </c>
      <c r="BA78" s="7">
        <f>AZ78*1.06</f>
        <v/>
      </c>
      <c r="BB78" s="56" t="n"/>
      <c r="BC78" s="56" t="n"/>
      <c r="BD78" s="56" t="n"/>
      <c r="BE78" s="56" t="n"/>
      <c r="BF78" s="34" t="n"/>
      <c r="BG78" s="34" t="n"/>
      <c r="BH78" s="34" t="n"/>
      <c r="BI78" s="34" t="n"/>
      <c r="BJ78" s="43" t="n"/>
      <c r="BK78" s="24" t="n"/>
      <c r="BL78" s="38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34" t="n"/>
      <c r="BZ78" s="34" t="n"/>
      <c r="CA78" s="34" t="n"/>
      <c r="CB78" s="34" t="n"/>
      <c r="CC78" s="34" t="n"/>
      <c r="CD78" s="34" t="n"/>
      <c r="CE78" s="34" t="n"/>
      <c r="CF78" s="34" t="n"/>
      <c r="CG78" s="34" t="n"/>
      <c r="CH78" s="34" t="n"/>
      <c r="CI78" s="34" t="n"/>
      <c r="CJ78" s="34" t="n"/>
      <c r="CK78" s="34" t="n"/>
      <c r="CL78" s="34" t="n"/>
      <c r="CM78" s="34" t="n"/>
      <c r="CN78" s="34" t="n"/>
      <c r="CO78" s="34" t="n"/>
      <c r="CP78" s="34" t="n"/>
      <c r="CQ78" s="34" t="n"/>
      <c r="CR78" s="34" t="n"/>
      <c r="CS78" s="34" t="n"/>
      <c r="CT78" s="34" t="n"/>
      <c r="CU78" s="34" t="n"/>
      <c r="CV78" s="34" t="n"/>
      <c r="CW78" s="34" t="n"/>
      <c r="CX78" s="34" t="n"/>
      <c r="CY78" s="34" t="n"/>
      <c r="CZ78" s="34" t="n"/>
      <c r="DA78" s="34" t="n"/>
      <c r="DB78" s="34" t="n"/>
      <c r="DC78" s="34" t="n"/>
      <c r="DD78" s="34" t="n"/>
      <c r="DE78" s="34" t="n"/>
      <c r="DF78" s="34" t="n"/>
      <c r="DG78" s="34" t="n"/>
      <c r="DH78" s="34" t="n"/>
      <c r="DI78" s="34" t="n"/>
      <c r="DJ78" s="34" t="n"/>
      <c r="DK78" s="34" t="n"/>
      <c r="DL78" s="34" t="n"/>
      <c r="DM78" s="34" t="n"/>
      <c r="DN78" s="34" t="n"/>
      <c r="DO78" s="34" t="n"/>
      <c r="DP78" s="34" t="n"/>
      <c r="DQ78" s="34" t="n"/>
      <c r="DR78" s="34" t="n"/>
      <c r="DS78" s="34" t="n"/>
      <c r="DT78" s="34" t="n"/>
      <c r="DU78" s="34" t="n"/>
      <c r="DV78" s="24">
        <f>SUM(BC78:DS78)</f>
        <v/>
      </c>
      <c r="DW78" s="24">
        <f>DV78*AU78</f>
        <v/>
      </c>
      <c r="DX78" s="24">
        <f>DV78*AU78</f>
        <v/>
      </c>
      <c r="DY78" s="7">
        <f>DW78*AY78</f>
        <v/>
      </c>
      <c r="DZ78" s="23">
        <f>DY78*1.07</f>
        <v/>
      </c>
      <c r="EA78" s="22">
        <f>IFERROR(DY78/AZ78,0)</f>
        <v/>
      </c>
      <c r="EB78" s="34" t="n"/>
      <c r="EC78" s="34" t="n"/>
      <c r="ED78" s="34" t="n"/>
      <c r="EE78" s="34">
        <f>IF(EB78&lt;&gt;"",EB78*ED78,0)</f>
        <v/>
      </c>
      <c r="EF78" s="34">
        <f>DV78-EE78</f>
        <v/>
      </c>
      <c r="EG78" s="34">
        <f>EF78*AU78</f>
        <v/>
      </c>
      <c r="EH78" s="34">
        <f>EF78</f>
        <v/>
      </c>
      <c r="EI78" s="34">
        <f>IFERROR(EH78/DV78,0)</f>
        <v/>
      </c>
      <c r="EJ78" s="34">
        <f>IFERROR(EH78*AY78/1000,0)</f>
        <v/>
      </c>
      <c r="EK78" s="34">
        <f>EJ78*1.07</f>
        <v/>
      </c>
      <c r="EL78" s="34" t="n"/>
      <c r="EM78" s="34" t="n"/>
    </row>
    <row r="79" ht="11.65" customFormat="1" customHeight="1" s="12">
      <c r="A79" s="81" t="inlineStr">
        <is>
          <t>LVL</t>
        </is>
      </c>
      <c r="B79" s="354" t="n">
        <v>79</v>
      </c>
      <c r="C79" s="354" t="n"/>
      <c r="D79" s="354" t="n"/>
      <c r="E79" s="354" t="n"/>
      <c r="F79" s="354" t="n"/>
      <c r="G79" s="354" t="n"/>
      <c r="H79" s="354" t="n"/>
      <c r="I79" s="354" t="n"/>
      <c r="J79" s="354" t="n"/>
      <c r="K79" s="354" t="n">
        <v>-79</v>
      </c>
      <c r="L79" s="354" t="n"/>
      <c r="M79" s="354" t="n"/>
      <c r="N79" s="354" t="n"/>
      <c r="O79" s="354" t="n"/>
      <c r="P79" s="354" t="n"/>
      <c r="Q79" s="354" t="n"/>
      <c r="R79" s="354" t="n"/>
      <c r="S79" s="354" t="n"/>
      <c r="T79" s="354" t="n"/>
      <c r="U79" s="354" t="n"/>
      <c r="V79" s="354" t="n"/>
      <c r="W79" s="354" t="n"/>
      <c r="X79" s="354" t="n"/>
      <c r="Y79" s="354" t="n"/>
      <c r="Z79" s="354" t="n"/>
      <c r="AA79" s="354" t="n"/>
      <c r="AB79" s="354" t="n"/>
      <c r="AC79" s="354" t="n"/>
      <c r="AD79" s="354" t="n"/>
      <c r="AE79" s="354" t="n"/>
      <c r="AF79" s="354" t="n"/>
      <c r="AG79" s="354" t="n"/>
      <c r="AH79" s="354" t="n"/>
      <c r="AI79" s="354" t="n"/>
      <c r="AJ79" s="354" t="n"/>
      <c r="AK79" s="354" t="n"/>
      <c r="AL79" s="354" t="n"/>
      <c r="AM79" s="354" t="n"/>
      <c r="AN79" s="354" t="n"/>
      <c r="AO79" s="34" t="n"/>
      <c r="AP79" s="24">
        <f>SUM(D79:AO79)</f>
        <v/>
      </c>
      <c r="AQ79" s="24">
        <f>SUM(B79:AO79)</f>
        <v/>
      </c>
      <c r="AR79" s="58" t="inlineStr">
        <is>
          <t xml:space="preserve"> </t>
        </is>
      </c>
      <c r="AS79" s="58" t="inlineStr">
        <is>
          <t xml:space="preserve"> </t>
        </is>
      </c>
      <c r="AT79" s="354" t="n"/>
      <c r="AU79" s="354" t="n">
        <v>12</v>
      </c>
      <c r="AV79" s="356" t="inlineStr">
        <is>
          <t>1-3/4 X 9-1/4 LSL/LVL</t>
        </is>
      </c>
      <c r="AW79" s="34">
        <f>AQ79*AU79</f>
        <v/>
      </c>
      <c r="AX79" s="34" t="n"/>
      <c r="AY79" s="57" t="n">
        <v>5.5</v>
      </c>
      <c r="AZ79" s="14">
        <f>(AW79*AY79)</f>
        <v/>
      </c>
      <c r="BA79" s="14">
        <f>AZ79*1.06</f>
        <v/>
      </c>
      <c r="BB79" s="56" t="n"/>
      <c r="BC79" s="56" t="n"/>
      <c r="BD79" s="56" t="n"/>
      <c r="BE79" s="56" t="n"/>
      <c r="BF79" s="34" t="n"/>
      <c r="BG79" s="34" t="n"/>
      <c r="BH79" s="34" t="n"/>
      <c r="BI79" s="34" t="n"/>
      <c r="BJ79" s="43" t="n"/>
      <c r="BK79" s="24" t="n"/>
      <c r="BL79" s="38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  <c r="BZ79" s="34" t="n"/>
      <c r="CA79" s="34" t="n"/>
      <c r="CB79" s="34" t="n"/>
      <c r="CC79" s="34" t="n"/>
      <c r="CD79" s="34" t="n"/>
      <c r="CE79" s="34" t="n"/>
      <c r="CF79" s="34" t="n"/>
      <c r="CG79" s="34" t="n"/>
      <c r="CH79" s="34" t="n"/>
      <c r="CI79" s="34" t="n"/>
      <c r="CJ79" s="34" t="n"/>
      <c r="CK79" s="34" t="n"/>
      <c r="CL79" s="34" t="n"/>
      <c r="CM79" s="34" t="n"/>
      <c r="CN79" s="34" t="n"/>
      <c r="CO79" s="34" t="n"/>
      <c r="CP79" s="34" t="n"/>
      <c r="CQ79" s="34" t="n"/>
      <c r="CR79" s="34" t="n"/>
      <c r="CS79" s="34" t="n"/>
      <c r="CT79" s="34" t="n"/>
      <c r="CU79" s="34" t="n"/>
      <c r="CV79" s="34" t="n"/>
      <c r="CW79" s="34" t="n"/>
      <c r="CX79" s="34" t="n"/>
      <c r="CY79" s="34" t="n"/>
      <c r="CZ79" s="34" t="n"/>
      <c r="DA79" s="34" t="n"/>
      <c r="DB79" s="34" t="n"/>
      <c r="DC79" s="34" t="n"/>
      <c r="DD79" s="34" t="n"/>
      <c r="DE79" s="34" t="n"/>
      <c r="DF79" s="34" t="n"/>
      <c r="DG79" s="34" t="n"/>
      <c r="DH79" s="34" t="n"/>
      <c r="DI79" s="34" t="n"/>
      <c r="DJ79" s="34" t="n"/>
      <c r="DK79" s="34" t="n"/>
      <c r="DL79" s="34" t="n"/>
      <c r="DM79" s="34" t="n"/>
      <c r="DN79" s="34" t="n"/>
      <c r="DO79" s="34" t="n"/>
      <c r="DP79" s="34" t="n"/>
      <c r="DQ79" s="34" t="n"/>
      <c r="DR79" s="34" t="n"/>
      <c r="DS79" s="34" t="n"/>
      <c r="DT79" s="34" t="n"/>
      <c r="DU79" s="34" t="n"/>
      <c r="DV79" s="24">
        <f>SUM(BC79:DS79)</f>
        <v/>
      </c>
      <c r="DW79" s="24">
        <f>DV79*AU79</f>
        <v/>
      </c>
      <c r="DX79" s="24">
        <f>DV79*AU79</f>
        <v/>
      </c>
      <c r="DY79" s="7">
        <f>DW79*AY79</f>
        <v/>
      </c>
      <c r="DZ79" s="23">
        <f>DY79*1.07</f>
        <v/>
      </c>
      <c r="EA79" s="22">
        <f>IFERROR(DY79/AZ79,0)</f>
        <v/>
      </c>
      <c r="EB79" s="34" t="n"/>
      <c r="EC79" s="34" t="n"/>
      <c r="ED79" s="34" t="n"/>
      <c r="EE79" s="34">
        <f>IF(EB79&lt;&gt;"",EB79*ED79,0)</f>
        <v/>
      </c>
      <c r="EF79" s="34">
        <f>DV79-EE79</f>
        <v/>
      </c>
      <c r="EG79" s="34">
        <f>EF79*AU79</f>
        <v/>
      </c>
      <c r="EH79" s="34">
        <f>EF79</f>
        <v/>
      </c>
      <c r="EI79" s="34">
        <f>IFERROR(EH79/DV79,0)</f>
        <v/>
      </c>
      <c r="EJ79" s="34">
        <f>IFERROR(EH79*AY79/1000,0)</f>
        <v/>
      </c>
      <c r="EK79" s="34">
        <f>EJ79*1.07</f>
        <v/>
      </c>
      <c r="EL79" s="34" t="n"/>
      <c r="EM79" s="34" t="n"/>
    </row>
    <row r="80" ht="11.65" customFormat="1" customHeight="1" s="12">
      <c r="A80" s="81" t="inlineStr">
        <is>
          <t>LVL</t>
        </is>
      </c>
      <c r="B80" s="354" t="n"/>
      <c r="C80" s="354" t="n"/>
      <c r="D80" s="354" t="n"/>
      <c r="E80" s="354" t="n"/>
      <c r="F80" s="354" t="n"/>
      <c r="G80" s="354" t="n"/>
      <c r="H80" s="354" t="n"/>
      <c r="I80" s="354" t="n"/>
      <c r="J80" s="354" t="n"/>
      <c r="K80" s="354" t="n">
        <v>1</v>
      </c>
      <c r="L80" s="354" t="n"/>
      <c r="M80" s="354" t="n"/>
      <c r="N80" s="354" t="n"/>
      <c r="O80" s="354" t="n"/>
      <c r="P80" s="354" t="n"/>
      <c r="Q80" s="354" t="n"/>
      <c r="R80" s="354" t="n"/>
      <c r="S80" s="354" t="n"/>
      <c r="T80" s="354" t="n"/>
      <c r="U80" s="354" t="n"/>
      <c r="V80" s="354" t="n"/>
      <c r="W80" s="354" t="n"/>
      <c r="X80" s="354" t="n"/>
      <c r="Y80" s="354" t="n"/>
      <c r="Z80" s="354" t="n"/>
      <c r="AA80" s="354" t="n"/>
      <c r="AB80" s="354" t="n"/>
      <c r="AC80" s="354" t="n"/>
      <c r="AD80" s="354" t="n"/>
      <c r="AE80" s="354" t="n"/>
      <c r="AF80" s="354" t="n"/>
      <c r="AG80" s="354" t="n"/>
      <c r="AH80" s="354" t="n"/>
      <c r="AI80" s="354" t="n"/>
      <c r="AJ80" s="354" t="n"/>
      <c r="AK80" s="354" t="n"/>
      <c r="AL80" s="354" t="n"/>
      <c r="AM80" s="354" t="n"/>
      <c r="AN80" s="354" t="n"/>
      <c r="AO80" s="34" t="n"/>
      <c r="AP80" s="24">
        <f>SUM(D80:AO80)</f>
        <v/>
      </c>
      <c r="AQ80" s="24">
        <f>SUM(B80:AO80)</f>
        <v/>
      </c>
      <c r="AR80" s="58" t="inlineStr">
        <is>
          <t xml:space="preserve"> </t>
        </is>
      </c>
      <c r="AS80" s="58" t="inlineStr">
        <is>
          <t xml:space="preserve"> </t>
        </is>
      </c>
      <c r="AT80" s="354" t="n"/>
      <c r="AU80" s="354" t="n">
        <v>12</v>
      </c>
      <c r="AV80" s="356" t="inlineStr">
        <is>
          <t>1-3/4 X 9-1/4 LSL/LVL</t>
        </is>
      </c>
      <c r="AW80" s="34">
        <f>AQ80*AU80</f>
        <v/>
      </c>
      <c r="AX80" s="34" t="n"/>
      <c r="AY80" s="57" t="n">
        <v>4.45</v>
      </c>
      <c r="AZ80" s="14">
        <f>(AW80*AY80)</f>
        <v/>
      </c>
      <c r="BA80" s="14">
        <f>AZ80*1.06</f>
        <v/>
      </c>
      <c r="BB80" s="56" t="n">
        <v>68981066</v>
      </c>
      <c r="BC80" s="56" t="n"/>
      <c r="BD80" s="56" t="n"/>
      <c r="BE80" s="56" t="n"/>
      <c r="BF80" s="34" t="n"/>
      <c r="BG80" s="34" t="n"/>
      <c r="BH80" s="34" t="n"/>
      <c r="BI80" s="34" t="n"/>
      <c r="BJ80" s="34" t="n"/>
      <c r="BK80" s="105" t="n"/>
      <c r="BL80" s="34" t="n"/>
      <c r="BM80" s="34" t="n"/>
      <c r="BN80" s="34" t="n"/>
      <c r="BO80" s="34" t="n"/>
      <c r="BP80" s="34" t="n"/>
      <c r="BQ80" s="34" t="n"/>
      <c r="BR80" s="34" t="n"/>
      <c r="BS80" s="34">
        <f>12/12</f>
        <v/>
      </c>
      <c r="BT80" s="34" t="n"/>
      <c r="BU80" s="34" t="n"/>
      <c r="BV80" s="34" t="n"/>
      <c r="BW80" s="34" t="n"/>
      <c r="BX80" s="34" t="n"/>
      <c r="BY80" s="34" t="n"/>
      <c r="BZ80" s="34" t="n"/>
      <c r="CA80" s="34" t="n"/>
      <c r="CB80" s="34" t="n"/>
      <c r="CC80" s="34" t="n"/>
      <c r="CD80" s="34" t="n"/>
      <c r="CE80" s="34" t="n"/>
      <c r="CF80" s="34" t="n"/>
      <c r="CG80" s="34" t="n"/>
      <c r="CH80" s="34" t="n"/>
      <c r="CI80" s="34" t="n"/>
      <c r="CJ80" s="34" t="n"/>
      <c r="CK80" s="34" t="n"/>
      <c r="CL80" s="34" t="n"/>
      <c r="CM80" s="34" t="n"/>
      <c r="CN80" s="34" t="n"/>
      <c r="CO80" s="34" t="n"/>
      <c r="CP80" s="34" t="n"/>
      <c r="CQ80" s="34" t="n"/>
      <c r="CR80" s="34" t="n"/>
      <c r="CS80" s="34" t="n"/>
      <c r="CT80" s="34" t="n"/>
      <c r="CU80" s="34" t="n"/>
      <c r="CV80" s="34" t="n"/>
      <c r="CW80" s="34" t="n"/>
      <c r="CX80" s="34" t="n"/>
      <c r="CY80" s="34" t="n"/>
      <c r="CZ80" s="34" t="n"/>
      <c r="DA80" s="34" t="n"/>
      <c r="DB80" s="34" t="n"/>
      <c r="DC80" s="34" t="n"/>
      <c r="DD80" s="34" t="n"/>
      <c r="DE80" s="34" t="n"/>
      <c r="DF80" s="34" t="n"/>
      <c r="DG80" s="34" t="n"/>
      <c r="DH80" s="34" t="n"/>
      <c r="DI80" s="34" t="n"/>
      <c r="DJ80" s="34" t="n"/>
      <c r="DK80" s="34" t="n"/>
      <c r="DL80" s="34" t="n"/>
      <c r="DM80" s="34" t="n"/>
      <c r="DN80" s="34" t="n"/>
      <c r="DO80" s="34" t="n"/>
      <c r="DP80" s="34" t="n"/>
      <c r="DQ80" s="34" t="n"/>
      <c r="DR80" s="34" t="n"/>
      <c r="DS80" s="34" t="n"/>
      <c r="DT80" s="34" t="n"/>
      <c r="DU80" s="34" t="n"/>
      <c r="DV80" s="24">
        <f>SUM(BC80:DS80)</f>
        <v/>
      </c>
      <c r="DW80" s="24">
        <f>DV80*AU80</f>
        <v/>
      </c>
      <c r="DX80" s="24">
        <f>DV80*AU80</f>
        <v/>
      </c>
      <c r="DY80" s="7">
        <f>DW80*AY80</f>
        <v/>
      </c>
      <c r="DZ80" s="23">
        <f>DY80*1.07</f>
        <v/>
      </c>
      <c r="EA80" s="22">
        <f>IFERROR(DY80/AZ80,0)</f>
        <v/>
      </c>
      <c r="EB80" s="34" t="n"/>
      <c r="EC80" s="34" t="n"/>
      <c r="ED80" s="34" t="n"/>
      <c r="EE80" s="34">
        <f>IF(EB80&lt;&gt;"",EB80*ED80,0)</f>
        <v/>
      </c>
      <c r="EF80" s="34">
        <f>DV80-EE80</f>
        <v/>
      </c>
      <c r="EG80" s="34">
        <f>EF80*AU80</f>
        <v/>
      </c>
      <c r="EH80" s="34">
        <f>EF80</f>
        <v/>
      </c>
      <c r="EI80" s="34">
        <f>IFERROR(EH80/DV80,0)</f>
        <v/>
      </c>
      <c r="EJ80" s="34">
        <f>IFERROR(EH80*AY80/1000,0)</f>
        <v/>
      </c>
      <c r="EK80" s="34">
        <f>EJ80*1.07</f>
        <v/>
      </c>
      <c r="EL80" s="34" t="n"/>
      <c r="EM80" s="34" t="n"/>
    </row>
    <row r="81" ht="11.65" customFormat="1" customHeight="1" s="12">
      <c r="A81" s="81" t="inlineStr">
        <is>
          <t>LVL</t>
        </is>
      </c>
      <c r="B81" s="30" t="n">
        <v>64</v>
      </c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>
        <v>-64</v>
      </c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  <c r="AA81" s="30" t="n"/>
      <c r="AB81" s="30" t="n"/>
      <c r="AC81" s="30" t="n"/>
      <c r="AD81" s="30" t="n"/>
      <c r="AE81" s="30" t="n"/>
      <c r="AF81" s="30" t="n"/>
      <c r="AG81" s="30" t="n"/>
      <c r="AH81" s="30" t="n"/>
      <c r="AI81" s="30" t="n"/>
      <c r="AJ81" s="30" t="n"/>
      <c r="AK81" s="30" t="n"/>
      <c r="AL81" s="30" t="n"/>
      <c r="AM81" s="30" t="n"/>
      <c r="AN81" s="30" t="n"/>
      <c r="AO81" s="24" t="n"/>
      <c r="AP81" s="24">
        <f>SUM(D81:AO81)</f>
        <v/>
      </c>
      <c r="AQ81" s="24">
        <f>SUM(B81:AO81)</f>
        <v/>
      </c>
      <c r="AR81" s="63" t="inlineStr">
        <is>
          <t xml:space="preserve"> </t>
        </is>
      </c>
      <c r="AS81" s="63" t="inlineStr">
        <is>
          <t xml:space="preserve"> </t>
        </is>
      </c>
      <c r="AT81" s="30" t="n"/>
      <c r="AU81" s="30" t="n">
        <v>18</v>
      </c>
      <c r="AV81" s="29" t="inlineStr">
        <is>
          <t>1-3/4 X 9-1/4 LSL/LVL</t>
        </is>
      </c>
      <c r="AW81" s="24">
        <f>AQ81*AU81</f>
        <v/>
      </c>
      <c r="AX81" s="24" t="n"/>
      <c r="AY81" s="62" t="n">
        <v>5.5</v>
      </c>
      <c r="AZ81" s="7">
        <f>(AW81*AY81)</f>
        <v/>
      </c>
      <c r="BA81" s="7">
        <f>AZ81*1.06</f>
        <v/>
      </c>
      <c r="BB81" s="53" t="n"/>
      <c r="BC81" s="53" t="n"/>
      <c r="BD81" s="53" t="n"/>
      <c r="BE81" s="53" t="n"/>
      <c r="BF81" s="24" t="n"/>
      <c r="BG81" s="24" t="n"/>
      <c r="BH81" s="24" t="n"/>
      <c r="BI81" s="24" t="n"/>
      <c r="BJ81" s="24" t="n"/>
      <c r="BK81" s="24" t="n"/>
      <c r="BL81" s="24" t="n"/>
      <c r="BM81" s="24" t="n"/>
      <c r="BN81" s="24" t="n"/>
      <c r="BO81" s="24" t="n"/>
      <c r="BP81" s="24" t="n"/>
      <c r="BQ81" s="24" t="n"/>
      <c r="BR81" s="24" t="n"/>
      <c r="BS81" s="24" t="n"/>
      <c r="BT81" s="24" t="n"/>
      <c r="BU81" s="24" t="n"/>
      <c r="BV81" s="24" t="n"/>
      <c r="BW81" s="24" t="n"/>
      <c r="BX81" s="24" t="n"/>
      <c r="BY81" s="24" t="n"/>
      <c r="BZ81" s="24" t="n"/>
      <c r="CA81" s="24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n"/>
      <c r="DK81" s="24" t="n"/>
      <c r="DL81" s="24" t="n"/>
      <c r="DM81" s="24" t="n"/>
      <c r="DN81" s="24" t="n"/>
      <c r="DO81" s="24" t="n"/>
      <c r="DP81" s="24" t="n"/>
      <c r="DQ81" s="24" t="n"/>
      <c r="DR81" s="24" t="n"/>
      <c r="DS81" s="24" t="n"/>
      <c r="DT81" s="24" t="n"/>
      <c r="DU81" s="24" t="n"/>
      <c r="DV81" s="24">
        <f>SUM(BC81:DS81)</f>
        <v/>
      </c>
      <c r="DW81" s="24">
        <f>DV81*AU81</f>
        <v/>
      </c>
      <c r="DX81" s="24">
        <f>DV81*AU81</f>
        <v/>
      </c>
      <c r="DY81" s="7">
        <f>DW81*AY81</f>
        <v/>
      </c>
      <c r="DZ81" s="23">
        <f>DY81*1.07</f>
        <v/>
      </c>
      <c r="EA81" s="22">
        <f>IFERROR(DY81/AZ81,0)</f>
        <v/>
      </c>
      <c r="EB81" s="24" t="n"/>
      <c r="EC81" s="24" t="n"/>
      <c r="ED81" s="24" t="n"/>
      <c r="EE81" s="24">
        <f>IF(EB81&lt;&gt;"",EB81*ED81,0)</f>
        <v/>
      </c>
      <c r="EF81" s="24">
        <f>DV81-EE81</f>
        <v/>
      </c>
      <c r="EG81" s="24">
        <f>EF81*AU81</f>
        <v/>
      </c>
      <c r="EH81" s="24">
        <f>EF81</f>
        <v/>
      </c>
      <c r="EI81" s="24">
        <f>IFERROR(EH81/DV81,0)</f>
        <v/>
      </c>
      <c r="EJ81" s="24">
        <f>IFERROR(EH81*AY81/1000,0)</f>
        <v/>
      </c>
      <c r="EK81" s="24">
        <f>EJ81*1.07</f>
        <v/>
      </c>
      <c r="EL81" s="24" t="n"/>
      <c r="EM81" s="24" t="n"/>
    </row>
    <row r="82" ht="11.65" customFormat="1" customHeight="1" s="12">
      <c r="A82" s="81" t="inlineStr">
        <is>
          <t>LVL</t>
        </is>
      </c>
      <c r="B82" s="30" t="n"/>
      <c r="C82" s="30" t="n">
        <v>-228</v>
      </c>
      <c r="D82" s="30" t="n"/>
      <c r="E82" s="30" t="n"/>
      <c r="F82" s="30" t="n"/>
      <c r="G82" s="30" t="n"/>
      <c r="H82" s="30" t="n"/>
      <c r="I82" s="30" t="n"/>
      <c r="J82" s="30" t="n"/>
      <c r="K82" s="30">
        <f>116+112</f>
        <v/>
      </c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0" t="n"/>
      <c r="AK82" s="30" t="n"/>
      <c r="AL82" s="30" t="n"/>
      <c r="AM82" s="30" t="n"/>
      <c r="AN82" s="30" t="n"/>
      <c r="AO82" s="24" t="n"/>
      <c r="AP82" s="24">
        <f>SUM(D82:AO82)</f>
        <v/>
      </c>
      <c r="AQ82" s="24">
        <f>SUM(B82:AO82)</f>
        <v/>
      </c>
      <c r="AR82" s="63" t="inlineStr">
        <is>
          <t xml:space="preserve"> </t>
        </is>
      </c>
      <c r="AS82" s="63" t="inlineStr">
        <is>
          <t xml:space="preserve"> </t>
        </is>
      </c>
      <c r="AT82" s="30" t="n"/>
      <c r="AU82" s="30" t="n">
        <v>18</v>
      </c>
      <c r="AV82" s="29" t="inlineStr">
        <is>
          <t>1-3/4 X 9-1/4 LSL/LVL</t>
        </is>
      </c>
      <c r="AW82" s="24">
        <f>AQ82*AU82</f>
        <v/>
      </c>
      <c r="AX82" s="24" t="n"/>
      <c r="AY82" s="62" t="n">
        <v>4.45</v>
      </c>
      <c r="AZ82" s="7">
        <f>(AW82*AY82)</f>
        <v/>
      </c>
      <c r="BA82" s="7">
        <f>AZ82*1.06</f>
        <v/>
      </c>
      <c r="BB82" s="53" t="n"/>
      <c r="BC82" s="53" t="n"/>
      <c r="BD82" s="53" t="n"/>
      <c r="BE82" s="53" t="n"/>
      <c r="BF82" s="24" t="n"/>
      <c r="BG82" s="24" t="n"/>
      <c r="BH82" s="24" t="n"/>
      <c r="BI82" s="24" t="n"/>
      <c r="BJ82" s="24" t="n"/>
      <c r="BK82" s="24" t="n"/>
      <c r="BL82" s="24" t="n"/>
      <c r="BM82" s="24" t="n"/>
      <c r="BN82" s="24" t="n"/>
      <c r="BO82" s="24" t="n"/>
      <c r="BP82" s="24" t="n"/>
      <c r="BQ82" s="24" t="n"/>
      <c r="BR82" s="24" t="n"/>
      <c r="BS82" s="24" t="n"/>
      <c r="BT82" s="24" t="n"/>
      <c r="BU82" s="24" t="n"/>
      <c r="BV82" s="24" t="n"/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n"/>
      <c r="DK82" s="24" t="n"/>
      <c r="DL82" s="24" t="n"/>
      <c r="DM82" s="24" t="n"/>
      <c r="DN82" s="24" t="n"/>
      <c r="DO82" s="24" t="n"/>
      <c r="DP82" s="24" t="n"/>
      <c r="DQ82" s="24" t="n"/>
      <c r="DR82" s="24" t="n"/>
      <c r="DS82" s="24" t="n"/>
      <c r="DT82" s="24" t="n"/>
      <c r="DU82" s="24" t="n"/>
      <c r="DV82" s="24">
        <f>SUM(BC82:DS82)</f>
        <v/>
      </c>
      <c r="DW82" s="24">
        <f>DV82*AU82</f>
        <v/>
      </c>
      <c r="DX82" s="24">
        <f>DV82*AU82</f>
        <v/>
      </c>
      <c r="DY82" s="7">
        <f>DW82*AY82</f>
        <v/>
      </c>
      <c r="DZ82" s="23">
        <f>DY82*1.07</f>
        <v/>
      </c>
      <c r="EA82" s="22">
        <f>IFERROR(DY82/AZ82,0)</f>
        <v/>
      </c>
      <c r="EB82" s="24" t="n"/>
      <c r="EC82" s="24" t="n"/>
      <c r="ED82" s="24" t="n"/>
      <c r="EE82" s="24">
        <f>IF(EB82&lt;&gt;"",EB82*ED82,0)</f>
        <v/>
      </c>
      <c r="EF82" s="24">
        <f>DV82-EE82</f>
        <v/>
      </c>
      <c r="EG82" s="24">
        <f>EF82*AU82</f>
        <v/>
      </c>
      <c r="EH82" s="24">
        <f>EF82</f>
        <v/>
      </c>
      <c r="EI82" s="24">
        <f>IFERROR(EH82/DV82,0)</f>
        <v/>
      </c>
      <c r="EJ82" s="24">
        <f>IFERROR(EH82*AY82/1000,0)</f>
        <v/>
      </c>
      <c r="EK82" s="24">
        <f>EJ82*1.07</f>
        <v/>
      </c>
      <c r="EL82" s="24" t="n"/>
      <c r="EM82" s="24" t="n"/>
    </row>
    <row r="83" ht="11.65" customFormat="1" customHeight="1" s="12">
      <c r="A83" s="81" t="inlineStr">
        <is>
          <t>LVL</t>
        </is>
      </c>
      <c r="B83" s="30" t="n"/>
      <c r="C83" s="30" t="n">
        <v>-294</v>
      </c>
      <c r="D83" s="30" t="n"/>
      <c r="E83" s="30" t="n"/>
      <c r="F83" s="30" t="n"/>
      <c r="G83" s="30" t="n"/>
      <c r="H83" s="30" t="n"/>
      <c r="I83" s="30" t="n"/>
      <c r="J83" s="30" t="n"/>
      <c r="K83" s="30">
        <f>165+129</f>
        <v/>
      </c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0" t="n"/>
      <c r="AC83" s="30" t="n"/>
      <c r="AD83" s="30" t="n"/>
      <c r="AE83" s="30" t="n"/>
      <c r="AF83" s="30" t="n"/>
      <c r="AG83" s="30" t="n"/>
      <c r="AH83" s="30" t="n"/>
      <c r="AI83" s="30" t="n"/>
      <c r="AJ83" s="30" t="n"/>
      <c r="AK83" s="30" t="n"/>
      <c r="AL83" s="30" t="n"/>
      <c r="AM83" s="30" t="n"/>
      <c r="AN83" s="30" t="n"/>
      <c r="AO83" s="24" t="n"/>
      <c r="AP83" s="24">
        <f>SUM(D83:AO83)</f>
        <v/>
      </c>
      <c r="AQ83" s="24">
        <f>SUM(B83:AO83)</f>
        <v/>
      </c>
      <c r="AR83" s="63" t="inlineStr">
        <is>
          <t xml:space="preserve"> </t>
        </is>
      </c>
      <c r="AS83" s="63" t="inlineStr">
        <is>
          <t xml:space="preserve"> </t>
        </is>
      </c>
      <c r="AT83" s="30" t="n"/>
      <c r="AU83" s="30" t="n">
        <v>26</v>
      </c>
      <c r="AV83" s="29" t="inlineStr">
        <is>
          <t>1-3/4 X 9-1/4 LSL/LVL</t>
        </is>
      </c>
      <c r="AW83" s="24">
        <f>AQ83*AU83</f>
        <v/>
      </c>
      <c r="AX83" s="24" t="n"/>
      <c r="AY83" s="62" t="n">
        <v>4.45</v>
      </c>
      <c r="AZ83" s="7">
        <f>(AW83*AY83)</f>
        <v/>
      </c>
      <c r="BA83" s="7">
        <f>AZ83*1.06</f>
        <v/>
      </c>
      <c r="BB83" s="53" t="n"/>
      <c r="BC83" s="53" t="n"/>
      <c r="BD83" s="53" t="n"/>
      <c r="BE83" s="53" t="n"/>
      <c r="BF83" s="24" t="n"/>
      <c r="BG83" s="24" t="n"/>
      <c r="BH83" s="24" t="n"/>
      <c r="BI83" s="24" t="n"/>
      <c r="BJ83" s="24" t="n"/>
      <c r="BK83" s="24" t="n"/>
      <c r="BL83" s="24" t="n"/>
      <c r="BM83" s="24" t="n"/>
      <c r="BN83" s="24" t="n"/>
      <c r="BO83" s="24" t="n"/>
      <c r="BP83" s="24" t="n"/>
      <c r="BQ83" s="24" t="n"/>
      <c r="BR83" s="24" t="n"/>
      <c r="BS83" s="24" t="n"/>
      <c r="BT83" s="24" t="n"/>
      <c r="BU83" s="24" t="n"/>
      <c r="BV83" s="24" t="n"/>
      <c r="BW83" s="24" t="n"/>
      <c r="BX83" s="24" t="n"/>
      <c r="BY83" s="24" t="n"/>
      <c r="BZ83" s="24" t="n"/>
      <c r="CA83" s="24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n"/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n"/>
      <c r="DK83" s="24" t="n"/>
      <c r="DL83" s="24" t="n"/>
      <c r="DM83" s="24" t="n"/>
      <c r="DN83" s="24" t="n"/>
      <c r="DO83" s="24" t="n"/>
      <c r="DP83" s="24" t="n"/>
      <c r="DQ83" s="24" t="n"/>
      <c r="DR83" s="24" t="n"/>
      <c r="DS83" s="24" t="n"/>
      <c r="DT83" s="24" t="n"/>
      <c r="DU83" s="24" t="n"/>
      <c r="DV83" s="24">
        <f>SUM(BC83:DS83)</f>
        <v/>
      </c>
      <c r="DW83" s="24">
        <f>DV83*AU83</f>
        <v/>
      </c>
      <c r="DX83" s="24">
        <f>DV83*AU83</f>
        <v/>
      </c>
      <c r="DY83" s="7">
        <f>DW83*AY83</f>
        <v/>
      </c>
      <c r="DZ83" s="23">
        <f>DY83*1.07</f>
        <v/>
      </c>
      <c r="EA83" s="22">
        <f>IFERROR(DY83/AZ83,0)</f>
        <v/>
      </c>
      <c r="EB83" s="24" t="n"/>
      <c r="EC83" s="24" t="n"/>
      <c r="ED83" s="24" t="n"/>
      <c r="EE83" s="24">
        <f>IF(EB83&lt;&gt;"",EB83*ED83,0)</f>
        <v/>
      </c>
      <c r="EF83" s="24">
        <f>DV83-EE83</f>
        <v/>
      </c>
      <c r="EG83" s="24">
        <f>EF83*AU83</f>
        <v/>
      </c>
      <c r="EH83" s="24">
        <f>EF83</f>
        <v/>
      </c>
      <c r="EI83" s="24">
        <f>IFERROR(EH83/DV83,0)</f>
        <v/>
      </c>
      <c r="EJ83" s="24">
        <f>IFERROR(EH83*AY83/1000,0)</f>
        <v/>
      </c>
      <c r="EK83" s="24">
        <f>EJ83*1.07</f>
        <v/>
      </c>
      <c r="EL83" s="24" t="n"/>
      <c r="EM83" s="24" t="n"/>
    </row>
    <row r="84" ht="11.65" customFormat="1" customHeight="1" s="12">
      <c r="A84" s="81" t="inlineStr">
        <is>
          <t>LVL</t>
        </is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>
        <v>4</v>
      </c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0" t="n"/>
      <c r="AK84" s="30" t="n"/>
      <c r="AL84" s="30" t="n"/>
      <c r="AM84" s="30" t="n"/>
      <c r="AN84" s="30" t="n"/>
      <c r="AO84" s="24" t="n"/>
      <c r="AP84" s="24">
        <f>SUM(D84:AO84)</f>
        <v/>
      </c>
      <c r="AQ84" s="24">
        <f>SUM(B84:AO84)</f>
        <v/>
      </c>
      <c r="AR84" s="63" t="n"/>
      <c r="AS84" s="63" t="n"/>
      <c r="AT84" s="30" t="n"/>
      <c r="AU84" s="30" t="n">
        <v>20</v>
      </c>
      <c r="AV84" s="29" t="inlineStr">
        <is>
          <t>1-3/4 X 14 LSL/LVL</t>
        </is>
      </c>
      <c r="AW84" s="24">
        <f>AQ84*AU84</f>
        <v/>
      </c>
      <c r="AX84" s="24" t="n"/>
      <c r="AY84" s="62" t="n">
        <v>6.7</v>
      </c>
      <c r="AZ84" s="7">
        <f>(AW84*AY84)</f>
        <v/>
      </c>
      <c r="BA84" s="7">
        <f>AZ84*1.06</f>
        <v/>
      </c>
      <c r="BB84" s="53" t="n">
        <v>68981066</v>
      </c>
      <c r="BC84" s="53" t="n"/>
      <c r="BD84" s="53" t="n"/>
      <c r="BE84" s="53" t="n"/>
      <c r="BF84" s="24" t="n"/>
      <c r="BG84" s="24" t="n"/>
      <c r="BH84" s="24" t="n"/>
      <c r="BI84" s="24" t="n"/>
      <c r="BJ84" s="24" t="n"/>
      <c r="BK84" s="24" t="n"/>
      <c r="BL84" s="24" t="n"/>
      <c r="BM84" s="24" t="n"/>
      <c r="BN84" s="24" t="n"/>
      <c r="BO84" s="24" t="n"/>
      <c r="BP84" s="24" t="n"/>
      <c r="BQ84" s="24" t="n"/>
      <c r="BR84" s="24" t="n"/>
      <c r="BS84" s="24">
        <f>80/20</f>
        <v/>
      </c>
      <c r="BT84" s="24" t="n"/>
      <c r="BU84" s="24" t="n"/>
      <c r="BV84" s="24" t="n"/>
      <c r="BW84" s="24" t="n"/>
      <c r="BX84" s="24" t="n"/>
      <c r="BY84" s="24" t="n"/>
      <c r="BZ84" s="24" t="n"/>
      <c r="CA84" s="24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n"/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n"/>
      <c r="DK84" s="24" t="n"/>
      <c r="DL84" s="24" t="n"/>
      <c r="DM84" s="24" t="n"/>
      <c r="DN84" s="24" t="n"/>
      <c r="DO84" s="24" t="n"/>
      <c r="DP84" s="24" t="n"/>
      <c r="DQ84" s="24" t="n"/>
      <c r="DR84" s="24" t="n"/>
      <c r="DS84" s="24" t="n"/>
      <c r="DT84" s="24" t="n"/>
      <c r="DU84" s="24" t="n"/>
      <c r="DV84" s="24">
        <f>SUM(BC84:DS84)</f>
        <v/>
      </c>
      <c r="DW84" s="24">
        <f>DV84*AU84</f>
        <v/>
      </c>
      <c r="DX84" s="24">
        <f>DV84*AU84</f>
        <v/>
      </c>
      <c r="DY84" s="7">
        <f>DW84*AY84</f>
        <v/>
      </c>
      <c r="DZ84" s="23">
        <f>DY84*1.07</f>
        <v/>
      </c>
      <c r="EA84" s="22">
        <f>IFERROR(DY84/AZ84,0)</f>
        <v/>
      </c>
      <c r="EB84" s="24" t="n"/>
      <c r="EC84" s="24" t="n"/>
      <c r="ED84" s="24" t="n"/>
      <c r="EE84" s="24">
        <f>IF(EB84&lt;&gt;"",EB84*ED84,0)</f>
        <v/>
      </c>
      <c r="EF84" s="24">
        <f>DV84-EE84</f>
        <v/>
      </c>
      <c r="EG84" s="24">
        <f>EF84*AU84</f>
        <v/>
      </c>
      <c r="EH84" s="24">
        <f>EF84</f>
        <v/>
      </c>
      <c r="EI84" s="24">
        <f>IFERROR(EH84/DV84,0)</f>
        <v/>
      </c>
      <c r="EJ84" s="24">
        <f>IFERROR(EH84*AY84/1000,0)</f>
        <v/>
      </c>
      <c r="EK84" s="24">
        <f>EJ84*1.07</f>
        <v/>
      </c>
      <c r="EL84" s="24" t="n"/>
      <c r="EM84" s="24" t="n"/>
    </row>
    <row r="85" ht="11.65" customFormat="1" customHeight="1" s="12">
      <c r="A85" s="81" t="inlineStr">
        <is>
          <t>LVL</t>
        </is>
      </c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>
        <v>4</v>
      </c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  <c r="AA85" s="30" t="n"/>
      <c r="AB85" s="30" t="n"/>
      <c r="AC85" s="30" t="n"/>
      <c r="AD85" s="30" t="n"/>
      <c r="AE85" s="30" t="n"/>
      <c r="AF85" s="30" t="n"/>
      <c r="AG85" s="30" t="n"/>
      <c r="AH85" s="30" t="n"/>
      <c r="AI85" s="30" t="n"/>
      <c r="AJ85" s="30" t="n"/>
      <c r="AK85" s="30" t="n"/>
      <c r="AL85" s="30" t="n"/>
      <c r="AM85" s="30" t="n"/>
      <c r="AN85" s="30" t="n"/>
      <c r="AO85" s="24" t="n"/>
      <c r="AP85" s="24">
        <f>SUM(D85:AO85)</f>
        <v/>
      </c>
      <c r="AQ85" s="24">
        <f>SUM(B85:AO85)</f>
        <v/>
      </c>
      <c r="AR85" s="63" t="n"/>
      <c r="AS85" s="63" t="n"/>
      <c r="AT85" s="30" t="n"/>
      <c r="AU85" s="30" t="n">
        <v>26</v>
      </c>
      <c r="AV85" s="29" t="inlineStr">
        <is>
          <t>1-3/4 X 14 LSL/LVL</t>
        </is>
      </c>
      <c r="AW85" s="24">
        <f>AQ85*AU85</f>
        <v/>
      </c>
      <c r="AX85" s="24" t="n"/>
      <c r="AY85" s="62" t="n">
        <v>6.7</v>
      </c>
      <c r="AZ85" s="7">
        <f>(AW85*AY85)</f>
        <v/>
      </c>
      <c r="BA85" s="7">
        <f>AZ85*1.06</f>
        <v/>
      </c>
      <c r="BB85" s="53" t="n">
        <v>68981066</v>
      </c>
      <c r="BC85" s="53" t="n"/>
      <c r="BD85" s="53" t="n"/>
      <c r="BE85" s="53" t="n"/>
      <c r="BF85" s="24" t="n"/>
      <c r="BG85" s="24" t="n"/>
      <c r="BH85" s="24" t="n"/>
      <c r="BI85" s="24" t="n"/>
      <c r="BJ85" s="24" t="n"/>
      <c r="BK85" s="24" t="n"/>
      <c r="BL85" s="24" t="n"/>
      <c r="BM85" s="24" t="n"/>
      <c r="BN85" s="24" t="n"/>
      <c r="BO85" s="24" t="n"/>
      <c r="BP85" s="24" t="n"/>
      <c r="BQ85" s="24" t="n"/>
      <c r="BR85" s="24" t="n"/>
      <c r="BS85" s="24">
        <f>104/26</f>
        <v/>
      </c>
      <c r="BT85" s="24" t="n"/>
      <c r="BU85" s="24" t="n"/>
      <c r="BV85" s="24" t="n"/>
      <c r="BW85" s="24" t="n"/>
      <c r="BX85" s="24" t="n"/>
      <c r="BY85" s="24" t="n"/>
      <c r="BZ85" s="24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n"/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n"/>
      <c r="DK85" s="24" t="n"/>
      <c r="DL85" s="24" t="n"/>
      <c r="DM85" s="24" t="n"/>
      <c r="DN85" s="24" t="n"/>
      <c r="DO85" s="24" t="n"/>
      <c r="DP85" s="24" t="n"/>
      <c r="DQ85" s="24" t="n"/>
      <c r="DR85" s="24" t="n"/>
      <c r="DS85" s="24" t="n"/>
      <c r="DT85" s="24" t="n"/>
      <c r="DU85" s="24" t="n"/>
      <c r="DV85" s="24">
        <f>SUM(BC85:DS85)</f>
        <v/>
      </c>
      <c r="DW85" s="24">
        <f>DV85*AU85</f>
        <v/>
      </c>
      <c r="DX85" s="24">
        <f>DV85*AU85</f>
        <v/>
      </c>
      <c r="DY85" s="7">
        <f>DW85*AY85</f>
        <v/>
      </c>
      <c r="DZ85" s="23">
        <f>DY85*1.07</f>
        <v/>
      </c>
      <c r="EA85" s="22">
        <f>IFERROR(DY85/AZ85,0)</f>
        <v/>
      </c>
      <c r="EB85" s="24" t="n"/>
      <c r="EC85" s="24" t="n"/>
      <c r="ED85" s="24" t="n"/>
      <c r="EE85" s="24">
        <f>IF(EB85&lt;&gt;"",EB85*ED85,0)</f>
        <v/>
      </c>
      <c r="EF85" s="24">
        <f>DV85-EE85</f>
        <v/>
      </c>
      <c r="EG85" s="24">
        <f>EF85*AU85</f>
        <v/>
      </c>
      <c r="EH85" s="24">
        <f>EF85</f>
        <v/>
      </c>
      <c r="EI85" s="24">
        <f>IFERROR(EH85/DV85,0)</f>
        <v/>
      </c>
      <c r="EJ85" s="24">
        <f>IFERROR(EH85*AY85/1000,0)</f>
        <v/>
      </c>
      <c r="EK85" s="24">
        <f>EJ85*1.07</f>
        <v/>
      </c>
      <c r="EL85" s="24" t="n"/>
      <c r="EM85" s="24" t="n"/>
    </row>
    <row r="86" ht="21" customHeight="1">
      <c r="A86" s="81" t="inlineStr">
        <is>
          <t>LVL</t>
        </is>
      </c>
      <c r="B86" s="46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>
        <f>1080/18</f>
        <v/>
      </c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0" t="n"/>
      <c r="AO86" s="20" t="n"/>
      <c r="AP86" s="24">
        <f>SUM(D86:AO86)</f>
        <v/>
      </c>
      <c r="AQ86" s="24">
        <f>SUM(B86,F86:AO86)</f>
        <v/>
      </c>
      <c r="AR86" s="20" t="n"/>
      <c r="AS86" s="20" t="n"/>
      <c r="AT86" s="20" t="n"/>
      <c r="AU86" s="30" t="n">
        <v>18</v>
      </c>
      <c r="AV86" s="80" t="inlineStr">
        <is>
          <t>1-3/4 X 11-7/8 LVL MCA</t>
        </is>
      </c>
      <c r="AW86" s="24">
        <f>AQ86*AU86</f>
        <v/>
      </c>
      <c r="AX86" s="20" t="n"/>
      <c r="AY86" s="62" t="n">
        <v>16</v>
      </c>
      <c r="AZ86" s="7">
        <f>AW86*AY86</f>
        <v/>
      </c>
      <c r="BA86" s="7">
        <f>AZ86*1.07</f>
        <v/>
      </c>
      <c r="BB86" s="53" t="inlineStr">
        <is>
          <t>68981101 68981153</t>
        </is>
      </c>
      <c r="BC86" s="24" t="n"/>
      <c r="BD86" s="24" t="n"/>
      <c r="BE86" s="24" t="n"/>
      <c r="BF86" s="20" t="n"/>
      <c r="BG86" s="20" t="n"/>
      <c r="BH86" s="20" t="n"/>
      <c r="BI86" s="20" t="n"/>
      <c r="BJ86" s="20" t="n"/>
      <c r="BK86" s="20" t="n"/>
      <c r="BL86" s="20" t="n"/>
      <c r="BM86" s="20" t="n"/>
      <c r="BN86" s="20" t="n"/>
      <c r="BO86" s="20" t="n"/>
      <c r="BP86" s="20" t="n"/>
      <c r="BQ86" s="20" t="n"/>
      <c r="BR86" s="20" t="n"/>
      <c r="BS86" s="20" t="n"/>
      <c r="BT86" s="20" t="n"/>
      <c r="BU86" s="20" t="n"/>
      <c r="BV86" s="20" t="n"/>
      <c r="BW86" s="20" t="n"/>
      <c r="BX86" s="20" t="n"/>
      <c r="BY86" s="20" t="n"/>
      <c r="BZ86" s="20" t="n"/>
      <c r="CA86" s="20">
        <f>60</f>
        <v/>
      </c>
      <c r="CB86" s="20" t="n"/>
      <c r="CC86" s="20" t="n"/>
      <c r="CD86" s="20" t="n"/>
      <c r="CE86" s="20" t="n"/>
      <c r="CF86" s="20" t="n"/>
      <c r="CG86" s="20" t="n"/>
      <c r="CH86" s="20" t="n"/>
      <c r="CI86" s="20" t="n"/>
      <c r="CJ86" s="20" t="n"/>
      <c r="CK86" s="20" t="n"/>
      <c r="CL86" s="20" t="n"/>
      <c r="CM86" s="20" t="n"/>
      <c r="CN86" s="20" t="n"/>
      <c r="CO86" s="20" t="n"/>
      <c r="CP86" s="20" t="n"/>
      <c r="CQ86" s="20" t="n"/>
      <c r="CR86" s="20" t="n"/>
      <c r="CS86" s="20" t="n"/>
      <c r="CT86" s="20" t="n"/>
      <c r="CU86" s="20" t="n"/>
      <c r="CV86" s="20" t="n"/>
      <c r="CW86" s="20" t="n"/>
      <c r="CX86" s="20" t="n"/>
      <c r="CY86" s="20" t="n"/>
      <c r="CZ86" s="20" t="n"/>
      <c r="DA86" s="20">
        <f>18</f>
        <v/>
      </c>
      <c r="DB86" s="20" t="n"/>
      <c r="DC86" s="20" t="n"/>
      <c r="DD86" s="20" t="n"/>
      <c r="DE86" s="20" t="n"/>
      <c r="DF86" s="20" t="n"/>
      <c r="DG86" s="20" t="n"/>
      <c r="DH86" s="20" t="n"/>
      <c r="DI86" s="20" t="n"/>
      <c r="DJ86" s="20" t="n"/>
      <c r="DK86" s="20" t="n"/>
      <c r="DL86" s="20" t="n"/>
      <c r="DM86" s="20" t="n"/>
      <c r="DN86" s="20" t="n"/>
      <c r="DO86" s="20" t="n"/>
      <c r="DP86" s="20" t="n"/>
      <c r="DQ86" s="20" t="n"/>
      <c r="DR86" s="20" t="n"/>
      <c r="DS86" s="20" t="n"/>
      <c r="DT86" s="20" t="n"/>
      <c r="DU86" s="20" t="n"/>
      <c r="DV86" s="24">
        <f>SUM(BC86:DS86)</f>
        <v/>
      </c>
      <c r="DW86" s="24">
        <f>DV86*AU86</f>
        <v/>
      </c>
      <c r="DX86" s="24">
        <f>DV86*AU86</f>
        <v/>
      </c>
      <c r="DY86" s="7">
        <f>DW86*AY86</f>
        <v/>
      </c>
      <c r="DZ86" s="23">
        <f>DY86*1.07</f>
        <v/>
      </c>
      <c r="EA86" s="22">
        <f>IFERROR(DY86/AZ86,0)</f>
        <v/>
      </c>
      <c r="EB86" s="20" t="n"/>
      <c r="EC86" s="20" t="n"/>
      <c r="ED86" s="20" t="n"/>
      <c r="EE86" s="20">
        <f>IF(EB86&lt;&gt;"",EB86*ED86,0)</f>
        <v/>
      </c>
      <c r="EF86" s="20">
        <f>DV86-EE86</f>
        <v/>
      </c>
      <c r="EG86" s="20">
        <f>EF86*AU86</f>
        <v/>
      </c>
      <c r="EH86" s="20">
        <f>EF86</f>
        <v/>
      </c>
      <c r="EI86" s="20">
        <f>IFERROR(EH86/DV86,0)</f>
        <v/>
      </c>
      <c r="EJ86" s="20">
        <f>IFERROR(EH86*AY86/1000,0)</f>
        <v/>
      </c>
      <c r="EK86" s="20">
        <f>EJ86*1.07</f>
        <v/>
      </c>
      <c r="EL86" s="25" t="n"/>
      <c r="EM86" s="20" t="n"/>
    </row>
    <row r="87" ht="13.15" customFormat="1" customHeight="1" s="106">
      <c r="A87" s="111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R87" s="113" t="n"/>
      <c r="AS87" s="113" t="n"/>
      <c r="AT87" s="112" t="n"/>
      <c r="AU87" s="112" t="n"/>
      <c r="AV87" s="111" t="n"/>
      <c r="AY87" s="110" t="n"/>
      <c r="AZ87" s="109" t="n"/>
      <c r="BA87" s="109" t="n"/>
      <c r="DZ87" s="108" t="n"/>
      <c r="EA87" s="107" t="n"/>
    </row>
    <row r="88" ht="12" customFormat="1" customHeight="1" s="24">
      <c r="A88" s="42" t="inlineStr">
        <is>
          <t>Each</t>
        </is>
      </c>
      <c r="B88" s="30" t="n">
        <v>7</v>
      </c>
      <c r="C88" s="30" t="n">
        <v>-5</v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P88" s="24">
        <f>SUM(D88:AO88)</f>
        <v/>
      </c>
      <c r="AQ88" s="24">
        <f>SUM(B88:AO88)</f>
        <v/>
      </c>
      <c r="AR88" s="63" t="inlineStr">
        <is>
          <t xml:space="preserve"> </t>
        </is>
      </c>
      <c r="AS88" s="63" t="inlineStr">
        <is>
          <t xml:space="preserve"> </t>
        </is>
      </c>
      <c r="AV88" s="29" t="inlineStr">
        <is>
          <t>10" SILL SEAL</t>
        </is>
      </c>
      <c r="AY88" s="62" t="n">
        <v>7.25</v>
      </c>
      <c r="AZ88" s="7">
        <f>AQ88*AY88</f>
        <v/>
      </c>
      <c r="BA88" s="27">
        <f>AZ88*1.06</f>
        <v/>
      </c>
      <c r="DV88" s="24">
        <f>SUM(BC88:DS88)</f>
        <v/>
      </c>
      <c r="DW88">
        <f>DV88*AU88</f>
        <v/>
      </c>
      <c r="DX88">
        <f>DV88</f>
        <v/>
      </c>
      <c r="DY88" s="7">
        <f>DV88*AY88</f>
        <v/>
      </c>
      <c r="DZ88" s="23">
        <f>DY88*1.07</f>
        <v/>
      </c>
      <c r="EA88" s="22">
        <f>IFERROR(DY88/AZ88,0)</f>
        <v/>
      </c>
      <c r="EE88">
        <f>IF(EB88&lt;&gt;"",EB88*ED88,0)</f>
        <v/>
      </c>
      <c r="EF88">
        <f>DV88-EE88</f>
        <v/>
      </c>
      <c r="EG88">
        <f>EF88*AU88</f>
        <v/>
      </c>
      <c r="EH88">
        <f>EF88</f>
        <v/>
      </c>
      <c r="EI88">
        <f>IFERROR(EH88/DV88,0)</f>
        <v/>
      </c>
      <c r="EJ88">
        <f>IFERROR(EH88*AY88/1000,0)</f>
        <v/>
      </c>
      <c r="EK88">
        <f>EJ88*1.07</f>
        <v/>
      </c>
    </row>
    <row r="89" ht="13.15" customFormat="1" customHeight="1" s="12">
      <c r="A89" s="64" t="inlineStr">
        <is>
          <t>Each</t>
        </is>
      </c>
      <c r="B89" s="355" t="n">
        <v>209</v>
      </c>
      <c r="C89" s="355" t="n"/>
      <c r="D89" s="355" t="n"/>
      <c r="E89" s="355" t="n"/>
      <c r="F89" s="355" t="n"/>
      <c r="G89" s="355" t="n"/>
      <c r="H89" s="355" t="n"/>
      <c r="I89" s="355" t="n"/>
      <c r="J89" s="355" t="n"/>
      <c r="K89" s="355" t="n"/>
      <c r="L89" s="355" t="n"/>
      <c r="M89" s="355" t="n"/>
      <c r="N89" s="355" t="n"/>
      <c r="O89" s="355" t="n"/>
      <c r="P89" s="355" t="n"/>
      <c r="Q89" s="355" t="n"/>
      <c r="R89" s="355" t="n"/>
      <c r="S89" s="355" t="n"/>
      <c r="T89" s="355" t="n"/>
      <c r="U89" s="355" t="n"/>
      <c r="V89" s="355" t="n"/>
      <c r="W89" s="355" t="n"/>
      <c r="X89" s="355" t="n"/>
      <c r="Y89" s="355" t="n"/>
      <c r="Z89" s="355" t="n"/>
      <c r="AA89" s="355" t="n"/>
      <c r="AB89" s="355" t="n"/>
      <c r="AC89" s="355" t="n"/>
      <c r="AD89" s="355" t="n"/>
      <c r="AE89" s="355" t="n"/>
      <c r="AF89" s="355" t="n"/>
      <c r="AG89" s="355" t="n"/>
      <c r="AH89" s="355" t="n"/>
      <c r="AI89" s="355" t="n"/>
      <c r="AJ89" s="355" t="n"/>
      <c r="AK89" s="355" t="n"/>
      <c r="AL89" s="355" t="n"/>
      <c r="AM89" s="355" t="n"/>
      <c r="AN89" s="355" t="n"/>
      <c r="AO89" s="65" t="n"/>
      <c r="AP89" s="24">
        <f>SUM(D89:AO89)</f>
        <v/>
      </c>
      <c r="AQ89" s="24">
        <f>SUM(B89:AO89)</f>
        <v/>
      </c>
      <c r="AR89" s="70" t="inlineStr">
        <is>
          <t xml:space="preserve"> </t>
        </is>
      </c>
      <c r="AS89" s="70" t="inlineStr">
        <is>
          <t xml:space="preserve"> </t>
        </is>
      </c>
      <c r="AT89" s="65" t="n"/>
      <c r="AU89" s="65" t="n"/>
      <c r="AV89" s="357" t="inlineStr">
        <is>
          <t>4" SILL SEAL</t>
        </is>
      </c>
      <c r="AW89" s="65" t="n"/>
      <c r="AX89" s="65" t="n"/>
      <c r="AY89" s="69" t="n">
        <v>7.25</v>
      </c>
      <c r="AZ89" s="7">
        <f>AQ89*AY89</f>
        <v/>
      </c>
      <c r="BA89" s="68">
        <f>AZ89*1.06</f>
        <v/>
      </c>
      <c r="BB89" s="24" t="n">
        <v>68981029</v>
      </c>
      <c r="BC89" s="38" t="n"/>
      <c r="BD89" s="38" t="n"/>
      <c r="BE89" s="38" t="n"/>
      <c r="BF89" s="37" t="n"/>
      <c r="BG89" s="35" t="n"/>
      <c r="BH89" s="35" t="n"/>
      <c r="BI89" s="35" t="n"/>
      <c r="BJ89" s="34">
        <f>36</f>
        <v/>
      </c>
      <c r="BK89" s="105" t="n"/>
      <c r="BL89" s="65" t="n"/>
      <c r="BM89" s="65" t="n"/>
      <c r="BN89" s="65" t="n"/>
      <c r="BO89" s="65" t="n"/>
      <c r="BP89" s="65" t="n"/>
      <c r="BQ89" s="65" t="n"/>
      <c r="BR89" s="65" t="n"/>
      <c r="BS89" s="65" t="n"/>
      <c r="BT89" s="65" t="n"/>
      <c r="BU89" s="65" t="n"/>
      <c r="BV89" s="65" t="n"/>
      <c r="BW89" s="65" t="n"/>
      <c r="BX89" s="65" t="n"/>
      <c r="BY89" s="65" t="n"/>
      <c r="BZ89" s="65" t="n"/>
      <c r="CA89" s="65" t="n"/>
      <c r="CB89" s="65" t="n"/>
      <c r="CC89" s="65" t="n"/>
      <c r="CD89" s="65" t="n"/>
      <c r="CE89" s="65" t="n"/>
      <c r="CF89" s="65" t="n"/>
      <c r="CG89" s="65" t="n"/>
      <c r="CH89" s="65" t="n"/>
      <c r="CI89" s="65" t="n"/>
      <c r="CJ89" s="65" t="n"/>
      <c r="CK89" s="65" t="n"/>
      <c r="CL89" s="65" t="n"/>
      <c r="CM89" s="65" t="n"/>
      <c r="CN89" s="65" t="n"/>
      <c r="CO89" s="65" t="n"/>
      <c r="CP89" s="65" t="n"/>
      <c r="CQ89" s="65" t="n"/>
      <c r="CR89" s="65" t="n"/>
      <c r="CS89" s="65" t="n"/>
      <c r="CT89" s="65" t="n"/>
      <c r="CU89" s="65" t="n"/>
      <c r="CV89" s="65" t="n"/>
      <c r="CW89" s="65" t="n"/>
      <c r="CX89" s="65" t="n"/>
      <c r="CY89" s="65" t="n"/>
      <c r="CZ89" s="65" t="n"/>
      <c r="DA89" s="65" t="n"/>
      <c r="DB89" s="65" t="n"/>
      <c r="DC89" s="65" t="n"/>
      <c r="DD89" s="65" t="n"/>
      <c r="DE89" s="65" t="n"/>
      <c r="DF89" s="65" t="n"/>
      <c r="DG89" s="65" t="n"/>
      <c r="DH89" s="65" t="n"/>
      <c r="DI89" s="65" t="n"/>
      <c r="DJ89" s="65" t="n"/>
      <c r="DK89" s="65" t="n"/>
      <c r="DL89" s="65" t="n"/>
      <c r="DM89" s="65" t="n"/>
      <c r="DN89" s="65" t="n"/>
      <c r="DO89" s="65" t="n"/>
      <c r="DP89" s="65" t="n"/>
      <c r="DQ89" s="65" t="n"/>
      <c r="DR89" s="65" t="n"/>
      <c r="DS89" s="65" t="n"/>
      <c r="DT89" s="65" t="n"/>
      <c r="DU89" s="65" t="n"/>
      <c r="DV89" s="24">
        <f>SUM(BC89:DS89)</f>
        <v/>
      </c>
      <c r="DW89" s="65">
        <f>DV89*AU89</f>
        <v/>
      </c>
      <c r="DX89" s="65">
        <f>DV89</f>
        <v/>
      </c>
      <c r="DY89" s="7">
        <f>DV89*AY89</f>
        <v/>
      </c>
      <c r="DZ89" s="67">
        <f>DY89*1.07</f>
        <v/>
      </c>
      <c r="EA89" s="22">
        <f>IFERROR(DY89/AZ89,0)</f>
        <v/>
      </c>
      <c r="EB89" s="65" t="n"/>
      <c r="EC89" s="65" t="n"/>
      <c r="ED89" s="65" t="n"/>
      <c r="EE89" s="65">
        <f>IF(EB89&lt;&gt;"",EB89*ED89,0)</f>
        <v/>
      </c>
      <c r="EF89" s="65">
        <f>DV89-EE89</f>
        <v/>
      </c>
      <c r="EG89" s="65">
        <f>EF89*AU89</f>
        <v/>
      </c>
      <c r="EH89" s="65">
        <f>EF89</f>
        <v/>
      </c>
      <c r="EI89" s="65">
        <f>IFERROR(EH89/DV89,0)</f>
        <v/>
      </c>
      <c r="EJ89" s="65">
        <f>IFERROR(EH89*AY89/1000,0)</f>
        <v/>
      </c>
      <c r="EK89" s="65">
        <f>EJ89*1.07</f>
        <v/>
      </c>
      <c r="EL89" s="65" t="n"/>
      <c r="EM89" s="65" t="n"/>
    </row>
    <row r="90" ht="23.25" customFormat="1" customHeight="1" s="12">
      <c r="A90" s="42" t="inlineStr">
        <is>
          <t>Each</t>
        </is>
      </c>
      <c r="B90" s="30" t="n">
        <v>446</v>
      </c>
      <c r="C90" s="30" t="n">
        <v>-4</v>
      </c>
      <c r="D90" s="30" t="n">
        <v>1</v>
      </c>
      <c r="E90" s="30" t="n"/>
      <c r="F90" s="30" t="n"/>
      <c r="G90" s="30" t="n"/>
      <c r="H90" s="30" t="n"/>
      <c r="I90" s="30" t="n"/>
      <c r="J90" s="30" t="n"/>
      <c r="K90" s="30" t="n">
        <v>-329</v>
      </c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0" t="n"/>
      <c r="AK90" s="30" t="n"/>
      <c r="AL90" s="30" t="n"/>
      <c r="AM90" s="30" t="n"/>
      <c r="AN90" s="30" t="n"/>
      <c r="AO90" s="24" t="n"/>
      <c r="AP90" s="24">
        <f>SUM(D90:AO90)</f>
        <v/>
      </c>
      <c r="AQ90" s="24">
        <f>SUM(B90:AO90)</f>
        <v/>
      </c>
      <c r="AR90" s="63" t="inlineStr">
        <is>
          <t xml:space="preserve"> </t>
        </is>
      </c>
      <c r="AS90" s="63" t="inlineStr">
        <is>
          <t xml:space="preserve"> </t>
        </is>
      </c>
      <c r="AT90" s="24" t="n"/>
      <c r="AU90" s="24" t="n"/>
      <c r="AV90" s="29" t="inlineStr">
        <is>
          <t>6" SILL SEAL</t>
        </is>
      </c>
      <c r="AW90" s="24" t="n"/>
      <c r="AX90" s="24" t="n"/>
      <c r="AY90" s="62" t="n">
        <v>7.25</v>
      </c>
      <c r="AZ90" s="7">
        <f>AQ90*AY90</f>
        <v/>
      </c>
      <c r="BA90" s="27">
        <f>AZ90*1.06</f>
        <v/>
      </c>
      <c r="BB90" s="53" t="inlineStr">
        <is>
          <t>68981029
68981005</t>
        </is>
      </c>
      <c r="BC90" s="38" t="n">
        <v>1</v>
      </c>
      <c r="BD90" s="38" t="n"/>
      <c r="BE90" s="38" t="n"/>
      <c r="BF90" s="37" t="n"/>
      <c r="BG90" s="35" t="n"/>
      <c r="BH90" s="35" t="n"/>
      <c r="BI90" s="35" t="n"/>
      <c r="BJ90" s="34">
        <f>(144-4)</f>
        <v/>
      </c>
      <c r="BK90" s="34" t="n"/>
      <c r="BL90" s="24" t="n"/>
      <c r="BM90" s="24" t="n"/>
      <c r="BN90" s="24" t="n"/>
      <c r="BO90" s="24" t="n"/>
      <c r="BP90" s="24" t="n"/>
      <c r="BQ90" s="24" t="n"/>
      <c r="BR90" s="24" t="n"/>
      <c r="BS90" s="24" t="n"/>
      <c r="BT90" s="24" t="n"/>
      <c r="BU90" s="24" t="n"/>
      <c r="BV90" s="24" t="n"/>
      <c r="BW90" s="24" t="n"/>
      <c r="BX90" s="24" t="n"/>
      <c r="BY90" s="24" t="n"/>
      <c r="BZ90" s="24" t="n"/>
      <c r="CA90" s="24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n"/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n"/>
      <c r="DK90" s="24" t="n"/>
      <c r="DL90" s="24" t="n"/>
      <c r="DM90" s="24" t="n"/>
      <c r="DN90" s="24" t="n"/>
      <c r="DO90" s="24" t="n"/>
      <c r="DP90" s="24" t="n"/>
      <c r="DQ90" s="24" t="n"/>
      <c r="DR90" s="24" t="n"/>
      <c r="DS90" s="24" t="n"/>
      <c r="DT90" s="24" t="n"/>
      <c r="DU90" s="24" t="n"/>
      <c r="DV90" s="24">
        <f>SUM(BC90:DS90)</f>
        <v/>
      </c>
      <c r="DW90" s="24">
        <f>DV90*AU90</f>
        <v/>
      </c>
      <c r="DX90" s="24">
        <f>DV90</f>
        <v/>
      </c>
      <c r="DY90" s="7">
        <f>DV90*AY90</f>
        <v/>
      </c>
      <c r="DZ90" s="23">
        <f>DY90*1.07</f>
        <v/>
      </c>
      <c r="EA90" s="22">
        <f>IFERROR(DY90/AZ90,0)</f>
        <v/>
      </c>
      <c r="EB90" s="24" t="n"/>
      <c r="EC90" s="24" t="n"/>
      <c r="ED90" s="24" t="n"/>
      <c r="EE90" s="24">
        <f>IF(EB90&lt;&gt;"",EB90*ED90,0)</f>
        <v/>
      </c>
      <c r="EF90" s="24">
        <f>DV90-EE90</f>
        <v/>
      </c>
      <c r="EG90" s="24">
        <f>EF90*AU90</f>
        <v/>
      </c>
      <c r="EH90" s="24">
        <f>EF90</f>
        <v/>
      </c>
      <c r="EI90" s="24">
        <f>IFERROR(EH90/DV90,0)</f>
        <v/>
      </c>
      <c r="EJ90" s="24">
        <f>IFERROR(EH90*AY90/1000,0)</f>
        <v/>
      </c>
      <c r="EK90" s="24">
        <f>EJ90*1.07</f>
        <v/>
      </c>
      <c r="EL90" s="24" t="n"/>
      <c r="EM90" s="24" t="n"/>
    </row>
    <row r="91" ht="23.25" customFormat="1" customHeight="1" s="12">
      <c r="A91" s="61" t="inlineStr">
        <is>
          <t>Each</t>
        </is>
      </c>
      <c r="B91" s="354" t="n">
        <v>2829</v>
      </c>
      <c r="C91" s="354" t="n"/>
      <c r="D91" s="354" t="n"/>
      <c r="E91" s="354" t="n"/>
      <c r="F91" s="354" t="n"/>
      <c r="G91" s="354" t="n"/>
      <c r="H91" s="354" t="n"/>
      <c r="I91" s="354" t="n"/>
      <c r="J91" s="354" t="n"/>
      <c r="K91" s="354" t="n">
        <v>-673</v>
      </c>
      <c r="L91" s="354" t="n"/>
      <c r="M91" s="354" t="n"/>
      <c r="N91" s="354" t="n"/>
      <c r="O91" s="354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  <c r="Y91" s="354" t="n"/>
      <c r="Z91" s="354" t="n"/>
      <c r="AA91" s="354" t="n"/>
      <c r="AB91" s="354" t="n"/>
      <c r="AC91" s="354" t="n"/>
      <c r="AD91" s="354" t="n"/>
      <c r="AE91" s="354" t="n"/>
      <c r="AF91" s="354" t="n"/>
      <c r="AG91" s="354" t="n"/>
      <c r="AH91" s="354" t="n"/>
      <c r="AI91" s="354" t="n"/>
      <c r="AJ91" s="354" t="n"/>
      <c r="AK91" s="354" t="n"/>
      <c r="AL91" s="354" t="n"/>
      <c r="AM91" s="354" t="n"/>
      <c r="AN91" s="354" t="n"/>
      <c r="AO91" s="34" t="n"/>
      <c r="AP91" s="34">
        <f>SUM(D91:AO91)</f>
        <v/>
      </c>
      <c r="AQ91" s="34">
        <f>SUM(B91:AO91)</f>
        <v/>
      </c>
      <c r="AR91" s="58" t="inlineStr">
        <is>
          <t xml:space="preserve"> </t>
        </is>
      </c>
      <c r="AS91" s="58" t="inlineStr">
        <is>
          <t xml:space="preserve"> </t>
        </is>
      </c>
      <c r="AT91" s="34" t="n"/>
      <c r="AU91" s="34" t="n"/>
      <c r="AV91" s="356" t="inlineStr">
        <is>
          <t>SUBFLOOR ADHESIVE</t>
        </is>
      </c>
      <c r="AW91" s="34" t="n"/>
      <c r="AX91" s="34" t="n"/>
      <c r="AY91" s="57" t="n">
        <v>5.5</v>
      </c>
      <c r="AZ91" s="14">
        <f>AQ91*AY91</f>
        <v/>
      </c>
      <c r="BA91" s="15">
        <f>AZ91*1.06</f>
        <v/>
      </c>
      <c r="BB91" s="56" t="inlineStr">
        <is>
          <t>68981016 68981133</t>
        </is>
      </c>
      <c r="BC91" s="38" t="n"/>
      <c r="BD91" s="38" t="n"/>
      <c r="BE91" s="38" t="n"/>
      <c r="BF91" s="38" t="n"/>
      <c r="BG91" s="34" t="n">
        <v>720</v>
      </c>
      <c r="BH91" s="34" t="n"/>
      <c r="BI91" s="34" t="n"/>
      <c r="BJ91" s="34" t="n"/>
      <c r="BK91" s="34" t="n"/>
      <c r="BL91" s="34" t="n"/>
      <c r="BM91" s="34" t="n"/>
      <c r="BN91" s="34" t="n"/>
      <c r="BO91" s="34" t="n"/>
      <c r="BP91" s="34" t="n"/>
      <c r="BQ91" s="34" t="n"/>
      <c r="BR91" s="34" t="n"/>
      <c r="BS91" s="34" t="n"/>
      <c r="BT91" s="34" t="n"/>
      <c r="BU91" s="34" t="n"/>
      <c r="BV91" s="34" t="n"/>
      <c r="BW91" s="34" t="n"/>
      <c r="BX91" s="34" t="n"/>
      <c r="BY91" s="34" t="n"/>
      <c r="BZ91" s="34" t="n"/>
      <c r="CA91" s="34" t="n"/>
      <c r="CB91" s="34" t="n"/>
      <c r="CC91" s="34" t="n"/>
      <c r="CD91" s="34" t="n"/>
      <c r="CE91" s="34" t="n"/>
      <c r="CF91" s="34" t="n"/>
      <c r="CG91" s="34" t="n"/>
      <c r="CH91" s="34" t="n"/>
      <c r="CI91" s="34" t="n"/>
      <c r="CJ91" s="34" t="n"/>
      <c r="CK91" s="34" t="n"/>
      <c r="CL91" s="34">
        <f>360</f>
        <v/>
      </c>
      <c r="CM91" s="34" t="n"/>
      <c r="CN91" s="34" t="n"/>
      <c r="CO91" s="34" t="n"/>
      <c r="CP91" s="34" t="n"/>
      <c r="CQ91" s="34" t="n"/>
      <c r="CR91" s="34" t="n"/>
      <c r="CS91" s="34" t="n"/>
      <c r="CT91" s="34" t="n"/>
      <c r="CU91" s="34" t="n"/>
      <c r="CV91" s="34" t="n"/>
      <c r="CW91" s="34" t="n"/>
      <c r="CX91" s="34" t="n"/>
      <c r="CY91" s="34" t="n"/>
      <c r="CZ91" s="34" t="n"/>
      <c r="DA91" s="34" t="n"/>
      <c r="DB91" s="34" t="n"/>
      <c r="DC91" s="34" t="n"/>
      <c r="DD91" s="34" t="n"/>
      <c r="DE91" s="34" t="n"/>
      <c r="DF91" s="34" t="n"/>
      <c r="DG91" s="34" t="n"/>
      <c r="DH91" s="34" t="n"/>
      <c r="DI91" s="34" t="n"/>
      <c r="DJ91" s="34" t="n"/>
      <c r="DK91" s="34" t="n"/>
      <c r="DL91" s="34" t="n"/>
      <c r="DM91" s="34" t="n"/>
      <c r="DN91" s="34" t="n"/>
      <c r="DO91" s="34" t="n"/>
      <c r="DP91" s="34" t="n"/>
      <c r="DQ91" s="34" t="n"/>
      <c r="DR91" s="34" t="n"/>
      <c r="DS91" s="34" t="n"/>
      <c r="DT91" s="34" t="n"/>
      <c r="DU91" s="34" t="n"/>
      <c r="DV91" s="34">
        <f>SUM(BC91:DS91)</f>
        <v/>
      </c>
      <c r="DW91" s="34">
        <f>DV91*AU91</f>
        <v/>
      </c>
      <c r="DX91" s="34">
        <f>DV91</f>
        <v/>
      </c>
      <c r="DY91" s="14">
        <f>DV91*AY91</f>
        <v/>
      </c>
      <c r="DZ91" s="60">
        <f>DY91*1.07</f>
        <v/>
      </c>
      <c r="EA91" s="32">
        <f>IFERROR(DY91/AZ91,0)</f>
        <v/>
      </c>
      <c r="EB91" s="34" t="n"/>
      <c r="EC91" s="34" t="n"/>
      <c r="ED91" s="34" t="n"/>
      <c r="EE91" s="34">
        <f>IF(EB91&lt;&gt;"",EB91*ED91,0)</f>
        <v/>
      </c>
      <c r="EF91" s="34">
        <f>DV91-EE91</f>
        <v/>
      </c>
      <c r="EG91" s="34">
        <f>EF91*AU91</f>
        <v/>
      </c>
      <c r="EH91" s="34">
        <f>EF91</f>
        <v/>
      </c>
      <c r="EI91" s="34">
        <f>IFERROR(EH91/DV91,0)</f>
        <v/>
      </c>
      <c r="EJ91" s="34">
        <f>IFERROR(EH91*AY91/1000,0)</f>
        <v/>
      </c>
      <c r="EK91" s="34">
        <f>EJ91*1.07</f>
        <v/>
      </c>
      <c r="EL91" s="34" t="n"/>
      <c r="EM91" s="34" t="n"/>
    </row>
    <row r="92" ht="23.25" customFormat="1" customHeight="1" s="12">
      <c r="A92" s="61" t="n"/>
      <c r="B92" s="354" t="n"/>
      <c r="C92" s="354" t="n"/>
      <c r="D92" s="354" t="n"/>
      <c r="E92" s="354" t="n"/>
      <c r="F92" s="354" t="n"/>
      <c r="G92" s="354" t="n"/>
      <c r="H92" s="354" t="n"/>
      <c r="I92" s="354" t="n"/>
      <c r="J92" s="354" t="n"/>
      <c r="K92" s="354" t="n"/>
      <c r="L92" s="354" t="n"/>
      <c r="M92" s="354" t="n"/>
      <c r="N92" s="354" t="n"/>
      <c r="O92" s="354" t="n"/>
      <c r="P92" s="354" t="n"/>
      <c r="Q92" s="354" t="n"/>
      <c r="R92" s="354" t="n">
        <v>1296</v>
      </c>
      <c r="S92" s="354" t="n"/>
      <c r="T92" s="354" t="n"/>
      <c r="U92" s="354" t="n"/>
      <c r="V92" s="354" t="n"/>
      <c r="W92" s="354" t="n"/>
      <c r="X92" s="354" t="n"/>
      <c r="Y92" s="354" t="n"/>
      <c r="Z92" s="354" t="n"/>
      <c r="AA92" s="354" t="n"/>
      <c r="AB92" s="354" t="n"/>
      <c r="AC92" s="354" t="n"/>
      <c r="AD92" s="354" t="n"/>
      <c r="AE92" s="354" t="n"/>
      <c r="AF92" s="354" t="n">
        <v>1296</v>
      </c>
      <c r="AG92" s="354" t="n"/>
      <c r="AH92" s="354" t="n"/>
      <c r="AI92" s="354" t="n"/>
      <c r="AJ92" s="354" t="n"/>
      <c r="AK92" s="354" t="n"/>
      <c r="AL92" s="354" t="n"/>
      <c r="AM92" s="354" t="n"/>
      <c r="AN92" s="354" t="n"/>
      <c r="AO92" s="34" t="n"/>
      <c r="AP92" s="34">
        <f>SUM(D92:AO92)</f>
        <v/>
      </c>
      <c r="AQ92" s="34">
        <f>SUM(B92:AO92)</f>
        <v/>
      </c>
      <c r="AR92" s="58" t="n"/>
      <c r="AS92" s="58" t="n"/>
      <c r="AT92" s="34" t="n"/>
      <c r="AU92" s="34" t="n"/>
      <c r="AV92" s="356" t="inlineStr">
        <is>
          <t>DYNAFLEX 800 10.1 OZ</t>
        </is>
      </c>
      <c r="AW92" s="34" t="n"/>
      <c r="AX92" s="34" t="n"/>
      <c r="AY92" s="57" t="n">
        <v>5.5</v>
      </c>
      <c r="AZ92" s="14">
        <f>AQ92*AY92</f>
        <v/>
      </c>
      <c r="BA92" s="15">
        <f>AZ92*1.06</f>
        <v/>
      </c>
      <c r="BB92" s="56" t="inlineStr">
        <is>
          <t>68981114 68981172</t>
        </is>
      </c>
      <c r="BC92" s="38" t="n"/>
      <c r="BD92" s="38" t="n"/>
      <c r="BE92" s="38" t="n"/>
      <c r="BF92" s="38" t="n"/>
      <c r="BG92" s="34" t="n"/>
      <c r="BH92" s="34" t="n"/>
      <c r="BI92" s="34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34" t="n"/>
      <c r="BS92" s="34" t="n"/>
      <c r="BT92" s="34" t="n"/>
      <c r="BU92" s="34" t="n"/>
      <c r="BV92" s="34" t="n"/>
      <c r="BW92" s="34" t="n"/>
      <c r="BX92" s="34" t="n"/>
      <c r="BY92" s="34" t="n"/>
      <c r="BZ92" s="34" t="n"/>
      <c r="CA92" s="34" t="n"/>
      <c r="CB92" s="34" t="n"/>
      <c r="CC92" s="34" t="n"/>
      <c r="CD92" s="34">
        <f>1296</f>
        <v/>
      </c>
      <c r="CE92" s="34" t="n"/>
      <c r="CF92" s="34" t="n"/>
      <c r="CG92" s="34" t="n"/>
      <c r="CH92" s="34" t="n"/>
      <c r="CI92" s="34" t="n"/>
      <c r="CJ92" s="34" t="n"/>
      <c r="CK92" s="34" t="n"/>
      <c r="CL92" s="43" t="n"/>
      <c r="CM92" s="43" t="n"/>
      <c r="CN92" s="43" t="n"/>
      <c r="CO92" s="43" t="n"/>
      <c r="CP92" s="43" t="n"/>
      <c r="CQ92" s="43" t="n"/>
      <c r="CR92" s="43" t="n"/>
      <c r="CS92" s="43" t="n"/>
      <c r="CT92" s="43" t="n"/>
      <c r="CU92" s="43" t="n"/>
      <c r="CV92" s="43" t="n"/>
      <c r="CW92" s="43" t="n"/>
      <c r="CX92" s="43" t="n"/>
      <c r="CY92" s="43" t="n"/>
      <c r="CZ92" s="43" t="n"/>
      <c r="DA92" s="43" t="n"/>
      <c r="DB92" s="43" t="n"/>
      <c r="DC92" s="43" t="n"/>
      <c r="DD92" s="43" t="n"/>
      <c r="DE92" s="43" t="n"/>
      <c r="DF92" s="43" t="n"/>
      <c r="DG92" s="43" t="n"/>
      <c r="DH92" s="43" t="n"/>
      <c r="DI92" s="43" t="n"/>
      <c r="DJ92" s="43" t="n"/>
      <c r="DK92" s="43" t="n"/>
      <c r="DL92" s="43">
        <f>1296</f>
        <v/>
      </c>
      <c r="DM92" s="43" t="n"/>
      <c r="DN92" s="43" t="n"/>
      <c r="DO92" s="43" t="n"/>
      <c r="DP92" s="43" t="n"/>
      <c r="DQ92" s="43" t="n"/>
      <c r="DR92" s="43" t="n"/>
      <c r="DS92" s="43" t="n"/>
      <c r="DT92" s="43" t="n"/>
      <c r="DU92" s="43" t="n"/>
      <c r="DV92" s="34">
        <f>SUM(BC92:DU92)</f>
        <v/>
      </c>
      <c r="DW92" s="34" t="n"/>
      <c r="DX92" s="34" t="n"/>
      <c r="DY92" s="14">
        <f>DV92*AY92</f>
        <v/>
      </c>
      <c r="DZ92" s="60">
        <f>DY92*1.06</f>
        <v/>
      </c>
      <c r="EA92" s="32">
        <f>IFERROR(DY92/AZ92,0)</f>
        <v/>
      </c>
      <c r="EB92" s="38" t="n"/>
      <c r="EC92" s="34" t="n"/>
      <c r="ED92" s="34" t="n"/>
      <c r="EE92" s="34" t="n"/>
      <c r="EF92" s="34" t="n"/>
      <c r="EG92" s="34" t="n"/>
      <c r="EH92" s="34" t="n"/>
      <c r="EI92" s="34" t="n"/>
      <c r="EJ92" s="34" t="n"/>
      <c r="EK92" s="34" t="n"/>
      <c r="EL92" s="34" t="n"/>
      <c r="EM92" s="34" t="n"/>
    </row>
    <row r="93" ht="11.65" customFormat="1" customHeight="1" s="12">
      <c r="A93" s="61" t="n"/>
      <c r="B93" s="354" t="n"/>
      <c r="C93" s="354" t="n"/>
      <c r="D93" s="354" t="n"/>
      <c r="E93" s="354" t="n"/>
      <c r="F93" s="354" t="n"/>
      <c r="G93" s="354" t="n"/>
      <c r="H93" s="354" t="n"/>
      <c r="I93" s="354" t="n"/>
      <c r="J93" s="354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  <c r="Y93" s="354" t="n"/>
      <c r="Z93" s="354" t="n"/>
      <c r="AA93" s="354" t="n">
        <v>240</v>
      </c>
      <c r="AB93" s="354" t="n"/>
      <c r="AC93" s="354" t="n"/>
      <c r="AD93" s="354" t="n"/>
      <c r="AE93" s="354" t="n"/>
      <c r="AF93" s="354" t="n"/>
      <c r="AG93" s="354" t="n"/>
      <c r="AH93" s="354" t="n"/>
      <c r="AI93" s="354" t="n"/>
      <c r="AJ93" s="354" t="n"/>
      <c r="AK93" s="354" t="n"/>
      <c r="AL93" s="354" t="n"/>
      <c r="AM93" s="354" t="n"/>
      <c r="AN93" s="354" t="n"/>
      <c r="AO93" s="34" t="n"/>
      <c r="AP93" s="34">
        <f>SUM(D93:AO93)</f>
        <v/>
      </c>
      <c r="AQ93" s="34">
        <f>SUM(B93:AO93)</f>
        <v/>
      </c>
      <c r="AR93" s="58" t="n"/>
      <c r="AS93" s="58" t="n"/>
      <c r="AT93" s="34" t="n"/>
      <c r="AU93" s="34" t="n"/>
      <c r="AV93" s="356" t="inlineStr">
        <is>
          <t>DAP SILICONE MAX 10.1 OZ</t>
        </is>
      </c>
      <c r="AW93" s="34" t="n"/>
      <c r="AX93" s="34" t="n"/>
      <c r="AY93" s="57" t="n">
        <v>9.949999999999999</v>
      </c>
      <c r="AZ93" s="14">
        <f>AQ93*AY93</f>
        <v/>
      </c>
      <c r="BA93" s="15">
        <f>AZ93*1.07</f>
        <v/>
      </c>
      <c r="BB93" s="34" t="n">
        <v>68981160</v>
      </c>
      <c r="BC93" s="38" t="n"/>
      <c r="BD93" s="38" t="n"/>
      <c r="BE93" s="38" t="n"/>
      <c r="BF93" s="38" t="n"/>
      <c r="BG93" s="34" t="n"/>
      <c r="BH93" s="34" t="n"/>
      <c r="BI93" s="34" t="n"/>
      <c r="BJ93" s="34" t="n"/>
      <c r="BK93" s="34" t="n"/>
      <c r="BL93" s="34" t="n"/>
      <c r="BM93" s="34" t="n"/>
      <c r="BN93" s="34" t="n"/>
      <c r="BO93" s="34" t="n"/>
      <c r="BP93" s="34" t="n"/>
      <c r="BQ93" s="34" t="n"/>
      <c r="BR93" s="34" t="n"/>
      <c r="BS93" s="34" t="n"/>
      <c r="BT93" s="34" t="n"/>
      <c r="BU93" s="34" t="n"/>
      <c r="BV93" s="34" t="n"/>
      <c r="BW93" s="34" t="n"/>
      <c r="BX93" s="34" t="n"/>
      <c r="BY93" s="34" t="n"/>
      <c r="BZ93" s="34" t="n"/>
      <c r="CA93" s="34" t="n"/>
      <c r="CB93" s="34" t="n"/>
      <c r="CC93" s="34" t="n"/>
      <c r="CD93" s="34" t="n"/>
      <c r="CE93" s="34" t="n"/>
      <c r="CF93" s="34" t="n"/>
      <c r="CG93" s="34" t="n"/>
      <c r="CH93" s="34" t="n"/>
      <c r="CI93" s="34" t="n"/>
      <c r="CJ93" s="34" t="n"/>
      <c r="CK93" s="34" t="n"/>
      <c r="CL93" s="43" t="n"/>
      <c r="CM93" s="43" t="n"/>
      <c r="CN93" s="43" t="n"/>
      <c r="CO93" s="43" t="n"/>
      <c r="CP93" s="43" t="n"/>
      <c r="CQ93" s="43" t="n"/>
      <c r="CR93" s="43" t="n"/>
      <c r="CS93" s="43" t="n"/>
      <c r="CT93" s="43" t="n"/>
      <c r="CU93" s="43" t="n"/>
      <c r="CV93" s="43" t="n"/>
      <c r="CW93" s="43" t="n"/>
      <c r="CX93" s="43" t="n"/>
      <c r="CY93" s="43" t="n"/>
      <c r="CZ93" s="43" t="n"/>
      <c r="DA93" s="43" t="n"/>
      <c r="DB93" s="43" t="n"/>
      <c r="DC93" s="43" t="n"/>
      <c r="DD93" s="43" t="n"/>
      <c r="DE93" s="43" t="n"/>
      <c r="DF93" s="43" t="n"/>
      <c r="DG93" s="43" t="n"/>
      <c r="DH93" s="43" t="n"/>
      <c r="DI93" s="43" t="n"/>
      <c r="DJ93" s="43" t="n"/>
      <c r="DK93" s="43" t="n"/>
      <c r="DL93" s="43" t="n"/>
      <c r="DM93" s="43">
        <f>240</f>
        <v/>
      </c>
      <c r="DN93" s="43" t="n"/>
      <c r="DO93" s="43" t="n"/>
      <c r="DP93" s="43" t="n"/>
      <c r="DQ93" s="43" t="n"/>
      <c r="DR93" s="43" t="n"/>
      <c r="DS93" s="43" t="n"/>
      <c r="DT93" s="43" t="n"/>
      <c r="DU93" s="43" t="n"/>
      <c r="DV93" s="34">
        <f>SUM(BC93:DU93)</f>
        <v/>
      </c>
      <c r="DW93" s="34" t="n"/>
      <c r="DX93" s="34" t="n"/>
      <c r="DY93" s="14">
        <f>DV93*AY93</f>
        <v/>
      </c>
      <c r="DZ93" s="60">
        <f>DY93*1.06</f>
        <v/>
      </c>
      <c r="EA93" s="32">
        <f>IFERROR(DY93/AZ93,0)</f>
        <v/>
      </c>
      <c r="EB93" s="38" t="n"/>
      <c r="EC93" s="34" t="n"/>
      <c r="ED93" s="34" t="n"/>
      <c r="EE93" s="34" t="n"/>
      <c r="EF93" s="34" t="n"/>
      <c r="EG93" s="34" t="n"/>
      <c r="EH93" s="34" t="n"/>
      <c r="EI93" s="34" t="n"/>
      <c r="EJ93" s="34" t="n"/>
      <c r="EK93" s="34" t="n"/>
      <c r="EL93" s="34" t="n"/>
      <c r="EM93" s="34" t="n"/>
    </row>
    <row r="94" ht="11.65" customFormat="1" customHeight="1" s="12">
      <c r="A94" s="61" t="n"/>
      <c r="B94" s="354" t="n"/>
      <c r="C94" s="354" t="n"/>
      <c r="D94" s="354" t="n"/>
      <c r="E94" s="354" t="n"/>
      <c r="F94" s="354" t="n"/>
      <c r="G94" s="354" t="n"/>
      <c r="H94" s="354" t="n"/>
      <c r="I94" s="354" t="n"/>
      <c r="J94" s="354" t="n"/>
      <c r="K94" s="354" t="n"/>
      <c r="L94" s="354" t="n"/>
      <c r="M94" s="354" t="n"/>
      <c r="N94" s="354" t="n"/>
      <c r="O94" s="354" t="n"/>
      <c r="P94" s="354" t="n"/>
      <c r="Q94" s="354" t="n"/>
      <c r="R94" s="354" t="n">
        <v>35</v>
      </c>
      <c r="S94" s="354" t="n"/>
      <c r="T94" s="354" t="n"/>
      <c r="U94" s="354" t="n"/>
      <c r="V94" s="354" t="n"/>
      <c r="W94" s="354" t="n"/>
      <c r="X94" s="354" t="n"/>
      <c r="Y94" s="354" t="n"/>
      <c r="Z94" s="354" t="n"/>
      <c r="AA94" s="354" t="n"/>
      <c r="AB94" s="354" t="n"/>
      <c r="AC94" s="354" t="n"/>
      <c r="AD94" s="354" t="n"/>
      <c r="AE94" s="354" t="n"/>
      <c r="AF94" s="354" t="n"/>
      <c r="AG94" s="354" t="n"/>
      <c r="AH94" s="354" t="n"/>
      <c r="AI94" s="354" t="n"/>
      <c r="AJ94" s="354" t="n"/>
      <c r="AK94" s="354" t="n"/>
      <c r="AL94" s="354" t="n"/>
      <c r="AM94" s="354" t="n"/>
      <c r="AN94" s="354" t="n"/>
      <c r="AO94" s="34" t="n"/>
      <c r="AP94" s="34">
        <f>SUM(D94:AO94)</f>
        <v/>
      </c>
      <c r="AQ94" s="34">
        <f>SUM(B94:AO94)</f>
        <v/>
      </c>
      <c r="AR94" s="58" t="n"/>
      <c r="AS94" s="58" t="n"/>
      <c r="AT94" s="34" t="n"/>
      <c r="AU94" s="34" t="n"/>
      <c r="AV94" s="356" t="inlineStr">
        <is>
          <t>5-1/2" DUAL GUARD THRESHOLD TA</t>
        </is>
      </c>
      <c r="AW94" s="34" t="n"/>
      <c r="AX94" s="34" t="n"/>
      <c r="AY94" s="57" t="n">
        <v>63.25</v>
      </c>
      <c r="AZ94" s="14">
        <f>AQ94*AY94</f>
        <v/>
      </c>
      <c r="BA94" s="15">
        <f>AZ94*1.06</f>
        <v/>
      </c>
      <c r="BB94" s="34" t="n">
        <v>68981115</v>
      </c>
      <c r="BC94" s="38" t="n"/>
      <c r="BD94" s="38" t="n"/>
      <c r="BE94" s="38" t="n"/>
      <c r="BF94" s="38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43" t="n"/>
      <c r="CM94" s="43" t="n"/>
      <c r="CN94" s="43">
        <f>35</f>
        <v/>
      </c>
      <c r="CO94" s="43" t="n"/>
      <c r="CP94" s="43" t="n"/>
      <c r="CQ94" s="43" t="n"/>
      <c r="CR94" s="43" t="n"/>
      <c r="CS94" s="43" t="n"/>
      <c r="CT94" s="43" t="n"/>
      <c r="CU94" s="43" t="n"/>
      <c r="CV94" s="43" t="n"/>
      <c r="CW94" s="43" t="n"/>
      <c r="CX94" s="43" t="n"/>
      <c r="CY94" s="43" t="n"/>
      <c r="CZ94" s="43" t="n"/>
      <c r="DA94" s="43" t="n"/>
      <c r="DB94" s="43" t="n"/>
      <c r="DC94" s="43" t="n"/>
      <c r="DD94" s="43" t="n"/>
      <c r="DE94" s="43" t="n"/>
      <c r="DF94" s="43" t="n"/>
      <c r="DG94" s="43" t="n"/>
      <c r="DH94" s="43" t="n"/>
      <c r="DI94" s="43" t="n"/>
      <c r="DJ94" s="43" t="n"/>
      <c r="DK94" s="43" t="n"/>
      <c r="DL94" s="43" t="n"/>
      <c r="DM94" s="43" t="n"/>
      <c r="DN94" s="43" t="n"/>
      <c r="DO94" s="43" t="n"/>
      <c r="DP94" s="43" t="n"/>
      <c r="DQ94" s="43" t="n"/>
      <c r="DR94" s="43" t="n"/>
      <c r="DS94" s="43" t="n"/>
      <c r="DT94" s="43" t="n"/>
      <c r="DU94" s="43" t="n"/>
      <c r="DV94" s="34">
        <f>SUM(BC94:DU94)</f>
        <v/>
      </c>
      <c r="DW94" s="34" t="n"/>
      <c r="DX94" s="34" t="n"/>
      <c r="DY94" s="14">
        <f>DV94*AY94</f>
        <v/>
      </c>
      <c r="DZ94" s="60">
        <f>DY94*1.06</f>
        <v/>
      </c>
      <c r="EA94" s="32">
        <f>IFERROR(DY94/AZ94,0)</f>
        <v/>
      </c>
      <c r="EB94" s="38" t="n"/>
      <c r="EC94" s="34" t="n"/>
      <c r="ED94" s="34" t="n"/>
      <c r="EE94" s="34" t="n"/>
      <c r="EF94" s="34" t="n"/>
      <c r="EG94" s="34" t="n"/>
      <c r="EH94" s="34" t="n"/>
      <c r="EI94" s="34" t="n"/>
      <c r="EJ94" s="34" t="n"/>
      <c r="EK94" s="34" t="n"/>
      <c r="EL94" s="34" t="n"/>
      <c r="EM94" s="34" t="n"/>
    </row>
    <row r="95" ht="11.65" customFormat="1" customHeight="1" s="12">
      <c r="A95" s="61" t="inlineStr">
        <is>
          <t>Each</t>
        </is>
      </c>
      <c r="B95" s="30" t="n"/>
      <c r="C95" s="30" t="n"/>
      <c r="D95" s="30" t="n"/>
      <c r="E95" s="30" t="n">
        <v>4</v>
      </c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24" t="n"/>
      <c r="AP95" s="34">
        <f>SUM(D95:AO95)</f>
        <v/>
      </c>
      <c r="AQ95" s="34">
        <f>SUM(B95:AO95)</f>
        <v/>
      </c>
      <c r="AR95" s="63" t="n"/>
      <c r="AS95" s="63" t="n"/>
      <c r="AT95" s="24" t="n"/>
      <c r="AU95" s="24" t="n"/>
      <c r="AV95" s="29" t="inlineStr">
        <is>
          <t xml:space="preserve">SIMPSON HUC410 </t>
        </is>
      </c>
      <c r="AW95" s="24" t="n"/>
      <c r="AX95" s="24" t="n"/>
      <c r="AY95" s="62" t="n">
        <v>16.25</v>
      </c>
      <c r="AZ95" s="15">
        <f>AQ95*AY95</f>
        <v/>
      </c>
      <c r="BA95" s="7">
        <f>AZ95*1.06</f>
        <v/>
      </c>
      <c r="BB95" s="34" t="n">
        <v>68981008</v>
      </c>
      <c r="BC95" s="24" t="n"/>
      <c r="BD95" s="24" t="n">
        <v>4</v>
      </c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74" t="n"/>
      <c r="CM95" s="74" t="n"/>
      <c r="CN95" s="74" t="n"/>
      <c r="CO95" s="74" t="n"/>
      <c r="CP95" s="74" t="n"/>
      <c r="CQ95" s="74" t="n"/>
      <c r="CR95" s="74" t="n"/>
      <c r="CS95" s="74" t="n"/>
      <c r="CT95" s="74" t="n"/>
      <c r="CU95" s="74" t="n"/>
      <c r="CV95" s="74" t="n"/>
      <c r="CW95" s="74" t="n"/>
      <c r="CX95" s="74" t="n"/>
      <c r="CY95" s="74" t="n"/>
      <c r="CZ95" s="74" t="n"/>
      <c r="DA95" s="74" t="n"/>
      <c r="DB95" s="74" t="n"/>
      <c r="DC95" s="74" t="n"/>
      <c r="DD95" s="74" t="n"/>
      <c r="DE95" s="74" t="n"/>
      <c r="DF95" s="74" t="n"/>
      <c r="DG95" s="74" t="n"/>
      <c r="DH95" s="74" t="n"/>
      <c r="DI95" s="74" t="n"/>
      <c r="DJ95" s="74" t="n"/>
      <c r="DK95" s="74" t="n"/>
      <c r="DL95" s="74" t="n"/>
      <c r="DM95" s="74" t="n"/>
      <c r="DN95" s="74" t="n"/>
      <c r="DO95" s="74" t="n"/>
      <c r="DP95" s="74" t="n"/>
      <c r="DQ95" s="74" t="n"/>
      <c r="DR95" s="74" t="n"/>
      <c r="DS95" s="74" t="n"/>
      <c r="DT95" s="74" t="n"/>
      <c r="DU95" s="74" t="n"/>
      <c r="DV95" s="34">
        <f>SUM(BC95:DS95)</f>
        <v/>
      </c>
      <c r="DW95" s="34">
        <f>DV95*AU95</f>
        <v/>
      </c>
      <c r="DX95" s="34">
        <f>DV95</f>
        <v/>
      </c>
      <c r="DY95" s="14">
        <f>DV95*AY95</f>
        <v/>
      </c>
      <c r="DZ95" s="60">
        <f>DY95*1.07</f>
        <v/>
      </c>
      <c r="EA95" s="32">
        <f>IFERROR(DY95/AZ95,0)</f>
        <v/>
      </c>
      <c r="EB95" s="103" t="n"/>
      <c r="EC95" s="24" t="n"/>
      <c r="ED95" s="24" t="n"/>
      <c r="EE95" s="24">
        <f>IF(EB95&lt;&gt;"",EB95*ED95,0)</f>
        <v/>
      </c>
      <c r="EF95" s="24">
        <f>DV95-EE95</f>
        <v/>
      </c>
      <c r="EG95" s="24">
        <f>EF95*AU95</f>
        <v/>
      </c>
      <c r="EH95" s="24">
        <f>EF95</f>
        <v/>
      </c>
      <c r="EI95" s="24">
        <f>IFERROR(EH95/DV95,0)</f>
        <v/>
      </c>
      <c r="EJ95" s="24">
        <f>IFERROR(EH95*AY95/1000,0)</f>
        <v/>
      </c>
      <c r="EK95" s="24">
        <f>EJ95*1.07</f>
        <v/>
      </c>
      <c r="EL95" s="24" t="n"/>
      <c r="EM95" s="24" t="n"/>
    </row>
    <row r="96" ht="11.65" customFormat="1" customHeight="1" s="12">
      <c r="A96" s="61" t="inlineStr">
        <is>
          <t>Each</t>
        </is>
      </c>
      <c r="B96" s="30" t="n"/>
      <c r="C96" s="30" t="n"/>
      <c r="D96" s="30" t="n"/>
      <c r="E96" s="30" t="n">
        <v>10</v>
      </c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0" t="n"/>
      <c r="AH96" s="30" t="n"/>
      <c r="AI96" s="30" t="n"/>
      <c r="AJ96" s="30" t="n"/>
      <c r="AK96" s="30" t="n"/>
      <c r="AL96" s="30" t="n"/>
      <c r="AM96" s="30" t="n"/>
      <c r="AN96" s="30" t="n"/>
      <c r="AO96" s="24" t="n"/>
      <c r="AP96" s="34">
        <f>SUM(D96:AO96)</f>
        <v/>
      </c>
      <c r="AQ96" s="34">
        <f>SUM(B96:AO96)</f>
        <v/>
      </c>
      <c r="AR96" s="63" t="n"/>
      <c r="AS96" s="63" t="n"/>
      <c r="AT96" s="24" t="n"/>
      <c r="AU96" s="24" t="n"/>
      <c r="AV96" s="29" t="inlineStr">
        <is>
          <t>SIMPSON HUC210</t>
        </is>
      </c>
      <c r="AW96" s="24" t="n"/>
      <c r="AX96" s="24" t="n"/>
      <c r="AY96" s="104" t="n">
        <v>18.15</v>
      </c>
      <c r="AZ96" s="27">
        <f>AQ96*AY96</f>
        <v/>
      </c>
      <c r="BA96" s="7">
        <f>AZ96*1.06</f>
        <v/>
      </c>
      <c r="BB96" s="34" t="n">
        <v>68981008</v>
      </c>
      <c r="BC96" s="24" t="n"/>
      <c r="BD96" s="24" t="n">
        <v>10</v>
      </c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74" t="n"/>
      <c r="CM96" s="74" t="n"/>
      <c r="CN96" s="74" t="n"/>
      <c r="CO96" s="74" t="n"/>
      <c r="CP96" s="74" t="n"/>
      <c r="CQ96" s="74" t="n"/>
      <c r="CR96" s="74" t="n"/>
      <c r="CS96" s="74" t="n"/>
      <c r="CT96" s="74" t="n"/>
      <c r="CU96" s="74" t="n"/>
      <c r="CV96" s="74" t="n"/>
      <c r="CW96" s="74" t="n"/>
      <c r="CX96" s="74" t="n"/>
      <c r="CY96" s="74" t="n"/>
      <c r="CZ96" s="74" t="n"/>
      <c r="DA96" s="74" t="n"/>
      <c r="DB96" s="74" t="n"/>
      <c r="DC96" s="74" t="n"/>
      <c r="DD96" s="74" t="n"/>
      <c r="DE96" s="74" t="n"/>
      <c r="DF96" s="74" t="n"/>
      <c r="DG96" s="74" t="n"/>
      <c r="DH96" s="74" t="n"/>
      <c r="DI96" s="74" t="n"/>
      <c r="DJ96" s="74" t="n"/>
      <c r="DK96" s="74" t="n"/>
      <c r="DL96" s="74" t="n"/>
      <c r="DM96" s="74" t="n"/>
      <c r="DN96" s="74" t="n"/>
      <c r="DO96" s="74" t="n"/>
      <c r="DP96" s="74" t="n"/>
      <c r="DQ96" s="74" t="n"/>
      <c r="DR96" s="74" t="n"/>
      <c r="DS96" s="74" t="n"/>
      <c r="DT96" s="74" t="n"/>
      <c r="DU96" s="74" t="n"/>
      <c r="DV96" s="24">
        <f>SUM(BC96:DS96)</f>
        <v/>
      </c>
      <c r="DW96" s="24">
        <f>DV96*AU96</f>
        <v/>
      </c>
      <c r="DX96" s="24">
        <f>DV96</f>
        <v/>
      </c>
      <c r="DY96" s="7">
        <f>DV96*AY96</f>
        <v/>
      </c>
      <c r="DZ96" s="23">
        <f>DY96*1.07</f>
        <v/>
      </c>
      <c r="EA96" s="22">
        <f>IFERROR(DY96/AZ96,0)</f>
        <v/>
      </c>
      <c r="EB96" s="103" t="n"/>
      <c r="EC96" s="24" t="n"/>
      <c r="ED96" s="24" t="n"/>
      <c r="EE96" s="24">
        <f>IF(EB96&lt;&gt;"",EB96*ED96,0)</f>
        <v/>
      </c>
      <c r="EF96" s="24">
        <f>DV96-EE96</f>
        <v/>
      </c>
      <c r="EG96" s="24">
        <f>EF96*AU96</f>
        <v/>
      </c>
      <c r="EH96" s="24">
        <f>EF96</f>
        <v/>
      </c>
      <c r="EI96" s="24">
        <f>IFERROR(EH96/DV96,0)</f>
        <v/>
      </c>
      <c r="EJ96" s="24">
        <f>IFERROR(EH96*AY96/1000,0)</f>
        <v/>
      </c>
      <c r="EK96" s="24">
        <f>EJ96*1.07</f>
        <v/>
      </c>
      <c r="EL96" s="24" t="n"/>
      <c r="EM96" s="24" t="n"/>
    </row>
    <row r="97" ht="11.65" customFormat="1" customHeight="1" s="12">
      <c r="A97" s="61" t="inlineStr">
        <is>
          <t>Each</t>
        </is>
      </c>
      <c r="B97" s="354" t="n"/>
      <c r="C97" s="354" t="n"/>
      <c r="D97" s="354" t="n"/>
      <c r="E97" s="354" t="n">
        <v>3</v>
      </c>
      <c r="F97" s="354" t="n"/>
      <c r="G97" s="354" t="n"/>
      <c r="H97" s="354" t="n"/>
      <c r="I97" s="354" t="n"/>
      <c r="J97" s="354" t="n"/>
      <c r="K97" s="354" t="n"/>
      <c r="L97" s="354" t="n"/>
      <c r="M97" s="354" t="n"/>
      <c r="N97" s="354" t="n"/>
      <c r="O97" s="354" t="n"/>
      <c r="P97" s="354" t="n"/>
      <c r="Q97" s="354" t="n"/>
      <c r="R97" s="354" t="n"/>
      <c r="S97" s="354" t="n"/>
      <c r="T97" s="354" t="n"/>
      <c r="U97" s="354" t="n"/>
      <c r="V97" s="354" t="n"/>
      <c r="W97" s="354" t="n"/>
      <c r="X97" s="354" t="n"/>
      <c r="Y97" s="354" t="n"/>
      <c r="Z97" s="354" t="n"/>
      <c r="AA97" s="354" t="n"/>
      <c r="AB97" s="354" t="n"/>
      <c r="AC97" s="354" t="n"/>
      <c r="AD97" s="354" t="n"/>
      <c r="AE97" s="354" t="n"/>
      <c r="AF97" s="354" t="n"/>
      <c r="AG97" s="354" t="n"/>
      <c r="AH97" s="354" t="n"/>
      <c r="AI97" s="354" t="n"/>
      <c r="AJ97" s="354" t="n"/>
      <c r="AK97" s="354" t="n"/>
      <c r="AL97" s="354" t="n"/>
      <c r="AM97" s="354" t="n"/>
      <c r="AN97" s="354" t="n"/>
      <c r="AO97" s="34" t="n"/>
      <c r="AP97" s="34">
        <f>SUM(D97:AO97)</f>
        <v/>
      </c>
      <c r="AQ97" s="34">
        <f>SUM(B97:AO97)</f>
        <v/>
      </c>
      <c r="AR97" s="354" t="n"/>
      <c r="AS97" s="356" t="n"/>
      <c r="AT97" s="354" t="n"/>
      <c r="AU97" s="354" t="n"/>
      <c r="AV97" s="356" t="inlineStr">
        <is>
          <t>TREX HIDDEN FASTENERS</t>
        </is>
      </c>
      <c r="AW97" s="34" t="n"/>
      <c r="AX97" s="102" t="n"/>
      <c r="AY97" s="57" t="n">
        <v>49.85</v>
      </c>
      <c r="AZ97" s="15">
        <f>AQ97*AY97</f>
        <v/>
      </c>
      <c r="BA97" s="14">
        <f>AZ97*1.06</f>
        <v/>
      </c>
      <c r="BB97" s="34" t="n">
        <v>68981008</v>
      </c>
      <c r="BC97" s="34" t="n"/>
      <c r="BD97" s="34" t="n">
        <v>6</v>
      </c>
      <c r="BE97" s="34" t="n"/>
      <c r="BF97" s="34" t="n"/>
      <c r="BG97" s="34" t="n"/>
      <c r="BH97" s="34" t="n"/>
      <c r="BI97" s="34" t="n"/>
      <c r="BJ97" s="34" t="n"/>
      <c r="BK97" s="34" t="n"/>
      <c r="BL97" s="34" t="n"/>
      <c r="BM97" s="34" t="n"/>
      <c r="BN97" s="34" t="n"/>
      <c r="BO97" s="34" t="n"/>
      <c r="BP97" s="34" t="n"/>
      <c r="BQ97" s="34" t="n"/>
      <c r="BR97" s="34" t="n"/>
      <c r="BS97" s="34" t="n"/>
      <c r="BT97" s="34" t="n"/>
      <c r="BU97" s="34" t="n"/>
      <c r="BV97" s="34" t="n"/>
      <c r="BW97" s="34" t="n"/>
      <c r="BX97" s="34" t="n"/>
      <c r="BY97" s="34" t="n"/>
      <c r="BZ97" s="34" t="n"/>
      <c r="CA97" s="34" t="n"/>
      <c r="CB97" s="34" t="n"/>
      <c r="CC97" s="34" t="n"/>
      <c r="CD97" s="34" t="n"/>
      <c r="CE97" s="34" t="n"/>
      <c r="CF97" s="34" t="n"/>
      <c r="CG97" s="34" t="n"/>
      <c r="CH97" s="34" t="n"/>
      <c r="CI97" s="34" t="n"/>
      <c r="CJ97" s="34" t="n"/>
      <c r="CK97" s="34" t="n"/>
      <c r="CL97" s="34" t="n"/>
      <c r="CM97" s="34" t="n"/>
      <c r="CN97" s="34" t="n"/>
      <c r="CO97" s="34" t="n"/>
      <c r="CP97" s="34" t="n"/>
      <c r="CQ97" s="34" t="n"/>
      <c r="CR97" s="34" t="n"/>
      <c r="CS97" s="34" t="n"/>
      <c r="CT97" s="34" t="n"/>
      <c r="CU97" s="34" t="n"/>
      <c r="CV97" s="34" t="n"/>
      <c r="CW97" s="34" t="n"/>
      <c r="CX97" s="34" t="n"/>
      <c r="CY97" s="34" t="n"/>
      <c r="CZ97" s="34" t="n"/>
      <c r="DA97" s="34" t="n"/>
      <c r="DB97" s="34" t="n"/>
      <c r="DC97" s="34" t="n"/>
      <c r="DD97" s="34" t="n"/>
      <c r="DE97" s="34" t="n"/>
      <c r="DF97" s="34" t="n"/>
      <c r="DG97" s="34" t="n"/>
      <c r="DH97" s="34" t="n"/>
      <c r="DI97" s="34" t="n"/>
      <c r="DJ97" s="34" t="n"/>
      <c r="DK97" s="34" t="n"/>
      <c r="DL97" s="34" t="n"/>
      <c r="DM97" s="34" t="n"/>
      <c r="DN97" s="34" t="n"/>
      <c r="DO97" s="34" t="n"/>
      <c r="DP97" s="34" t="n"/>
      <c r="DQ97" s="34" t="n"/>
      <c r="DR97" s="34" t="n"/>
      <c r="DS97" s="34" t="n"/>
      <c r="DT97" s="34" t="n"/>
      <c r="DU97" s="34" t="n"/>
      <c r="DV97" s="34">
        <f>SUM(BC97:DS97)</f>
        <v/>
      </c>
      <c r="DW97" s="34">
        <f>DV97*AU97</f>
        <v/>
      </c>
      <c r="DX97" s="34">
        <f>DV97</f>
        <v/>
      </c>
      <c r="DY97" s="14">
        <f>DV97*AY97</f>
        <v/>
      </c>
      <c r="DZ97" s="60">
        <f>DY97*1.07</f>
        <v/>
      </c>
      <c r="EA97" s="32">
        <f>IFERROR(DY97/AZ97,0)</f>
        <v/>
      </c>
      <c r="EB97" s="34" t="n"/>
      <c r="EC97" s="34" t="n"/>
      <c r="ED97" s="34" t="n"/>
      <c r="EE97" s="34">
        <f>IF(EB97&lt;&gt;"",EB97*ED97,0)</f>
        <v/>
      </c>
      <c r="EF97" s="34">
        <f>DV97-EE97</f>
        <v/>
      </c>
      <c r="EG97" s="34">
        <f>EF97*AU97</f>
        <v/>
      </c>
      <c r="EH97" s="34">
        <f>EF97</f>
        <v/>
      </c>
      <c r="EI97" s="34">
        <f>IFERROR(EH97/DV97,0)</f>
        <v/>
      </c>
      <c r="EJ97" s="34">
        <f>IFERROR(EH97*AY97/1000,0)</f>
        <v/>
      </c>
      <c r="EK97" s="34">
        <f>EJ97*1.07</f>
        <v/>
      </c>
      <c r="EL97" s="34" t="n"/>
      <c r="EM97" s="34" t="n"/>
    </row>
    <row r="98" ht="23.25" customFormat="1" customHeight="1" s="12">
      <c r="A98" s="42" t="inlineStr">
        <is>
          <t>Each</t>
        </is>
      </c>
      <c r="B98" s="30" t="n"/>
      <c r="C98" s="30" t="n"/>
      <c r="D98" s="30" t="n"/>
      <c r="E98" s="30" t="n">
        <v>3</v>
      </c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0" t="n"/>
      <c r="AK98" s="30" t="n"/>
      <c r="AL98" s="30" t="n"/>
      <c r="AM98" s="30" t="n"/>
      <c r="AN98" s="30" t="n"/>
      <c r="AO98" s="24" t="n"/>
      <c r="AP98" s="24">
        <f>SUM(D98:AO98)</f>
        <v/>
      </c>
      <c r="AQ98" s="24">
        <f>SUM(B98:AO98)</f>
        <v/>
      </c>
      <c r="AR98" s="30" t="n"/>
      <c r="AS98" s="29" t="n"/>
      <c r="AT98" s="30" t="n"/>
      <c r="AU98" s="30" t="n"/>
      <c r="AV98" s="29" t="inlineStr">
        <is>
          <t xml:space="preserve">TREX CLAM SHELL SQUARE EDGE 1X6X16 </t>
        </is>
      </c>
      <c r="AW98" s="24" t="n"/>
      <c r="AX98" s="84" t="n"/>
      <c r="AY98" s="62" t="n">
        <v>47.2</v>
      </c>
      <c r="AZ98" s="7">
        <f>AQ98*AY98</f>
        <v/>
      </c>
      <c r="BA98" s="7">
        <f>AZ98*1.06</f>
        <v/>
      </c>
      <c r="BB98" s="24" t="n">
        <v>68981008</v>
      </c>
      <c r="BC98" s="24" t="n"/>
      <c r="BD98" s="24" t="n">
        <v>6</v>
      </c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n"/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n"/>
      <c r="DK98" s="24" t="n"/>
      <c r="DL98" s="24" t="n"/>
      <c r="DM98" s="24" t="n"/>
      <c r="DN98" s="24" t="n"/>
      <c r="DO98" s="24" t="n"/>
      <c r="DP98" s="24" t="n"/>
      <c r="DQ98" s="24" t="n"/>
      <c r="DR98" s="24" t="n"/>
      <c r="DS98" s="24" t="n"/>
      <c r="DT98" s="24" t="n"/>
      <c r="DU98" s="24" t="n"/>
      <c r="DV98" s="24">
        <f>SUM(BC98:DS98)</f>
        <v/>
      </c>
      <c r="DW98" s="24">
        <f>DV98*AU98</f>
        <v/>
      </c>
      <c r="DX98" s="24">
        <f>DV98</f>
        <v/>
      </c>
      <c r="DY98" s="7">
        <f>DV98*AY98</f>
        <v/>
      </c>
      <c r="DZ98" s="23">
        <f>DY98*1.07</f>
        <v/>
      </c>
      <c r="EA98" s="22">
        <f>IFERROR(DY98/AZ98,0)</f>
        <v/>
      </c>
      <c r="EB98" s="24" t="n"/>
      <c r="EC98" s="24" t="n"/>
      <c r="ED98" s="24" t="n"/>
      <c r="EE98" s="24">
        <f>IF(EB98&lt;&gt;"",EB98*ED98,0)</f>
        <v/>
      </c>
      <c r="EF98" s="24">
        <f>DV98-EE98</f>
        <v/>
      </c>
      <c r="EG98" s="24">
        <f>EF98*AU98</f>
        <v/>
      </c>
      <c r="EH98" s="24">
        <f>EF98</f>
        <v/>
      </c>
      <c r="EI98" s="24">
        <f>IFERROR(EH98/DV98,0)</f>
        <v/>
      </c>
      <c r="EJ98" s="24">
        <f>IFERROR(EH98*AY98/1000,0)</f>
        <v/>
      </c>
      <c r="EK98" s="24">
        <f>EJ98*1.07</f>
        <v/>
      </c>
      <c r="EL98" s="24" t="n"/>
      <c r="EM98" s="24" t="n"/>
    </row>
    <row r="99" ht="11.65" customFormat="1" customHeight="1" s="12">
      <c r="A99" s="42" t="inlineStr">
        <is>
          <t>Each</t>
        </is>
      </c>
      <c r="B99" s="30" t="n"/>
      <c r="C99" s="30" t="n"/>
      <c r="D99" s="30" t="n"/>
      <c r="E99" s="30" t="n">
        <v>15</v>
      </c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0" t="n"/>
      <c r="AK99" s="30" t="n"/>
      <c r="AL99" s="30" t="n"/>
      <c r="AM99" s="30" t="n"/>
      <c r="AN99" s="30" t="n"/>
      <c r="AO99" s="24" t="n"/>
      <c r="AP99" s="24">
        <f>SUM(D99:AO99)</f>
        <v/>
      </c>
      <c r="AQ99" s="24">
        <f>SUM(B99:AO99)</f>
        <v/>
      </c>
      <c r="AR99" s="30" t="n"/>
      <c r="AS99" s="29" t="n"/>
      <c r="AT99" s="30" t="n"/>
      <c r="AU99" s="30" t="n"/>
      <c r="AV99" s="29" t="inlineStr">
        <is>
          <t xml:space="preserve">TREX CLAM SHELL GROOVED 1X6X16 </t>
        </is>
      </c>
      <c r="AW99" s="24" t="n"/>
      <c r="AX99" s="84" t="n"/>
      <c r="AY99" s="62" t="n">
        <v>47.2</v>
      </c>
      <c r="AZ99" s="7">
        <f>AQ99*AY99</f>
        <v/>
      </c>
      <c r="BA99" s="7">
        <f>AZ99*1.06</f>
        <v/>
      </c>
      <c r="BB99" s="24" t="n">
        <v>68981008</v>
      </c>
      <c r="BC99" s="24" t="n"/>
      <c r="BD99" s="24" t="n">
        <v>30</v>
      </c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n"/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n"/>
      <c r="DK99" s="24" t="n"/>
      <c r="DL99" s="24" t="n"/>
      <c r="DM99" s="24" t="n"/>
      <c r="DN99" s="24" t="n"/>
      <c r="DO99" s="24" t="n"/>
      <c r="DP99" s="24" t="n"/>
      <c r="DQ99" s="24" t="n"/>
      <c r="DR99" s="24" t="n"/>
      <c r="DS99" s="24" t="n"/>
      <c r="DT99" s="24" t="n"/>
      <c r="DU99" s="24" t="n"/>
      <c r="DV99" s="24">
        <f>SUM(BC99:DS99)</f>
        <v/>
      </c>
      <c r="DW99" s="24">
        <f>DV99*AU99</f>
        <v/>
      </c>
      <c r="DX99" s="24">
        <f>DV99</f>
        <v/>
      </c>
      <c r="DY99" s="7">
        <f>DV99*AY99</f>
        <v/>
      </c>
      <c r="DZ99" s="23">
        <f>DY99*1.07</f>
        <v/>
      </c>
      <c r="EA99" s="22">
        <f>IFERROR(DY99/AZ99,0)</f>
        <v/>
      </c>
      <c r="EB99" s="24" t="n"/>
      <c r="EC99" s="24" t="n"/>
      <c r="ED99" s="24" t="n"/>
      <c r="EE99" s="24">
        <f>IF(EB99&lt;&gt;"",EB99*ED99,0)</f>
        <v/>
      </c>
      <c r="EF99" s="24">
        <f>DV99-EE99</f>
        <v/>
      </c>
      <c r="EG99" s="24">
        <f>EF99*AU99</f>
        <v/>
      </c>
      <c r="EH99" s="24">
        <f>EF99</f>
        <v/>
      </c>
      <c r="EI99" s="24">
        <f>IFERROR(EH99/DV99,0)</f>
        <v/>
      </c>
      <c r="EJ99" s="24">
        <f>IFERROR(EH99*AY99/1000,0)</f>
        <v/>
      </c>
      <c r="EK99" s="24">
        <f>EJ99*1.07</f>
        <v/>
      </c>
      <c r="EL99" s="24" t="n"/>
      <c r="EM99" s="24" t="n"/>
    </row>
    <row r="100" ht="11.65" customFormat="1" customHeight="1" s="12">
      <c r="A100" s="42" t="inlineStr">
        <is>
          <t>Hardware</t>
        </is>
      </c>
      <c r="B100" s="30" t="n">
        <v>2457</v>
      </c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>
        <v>940</v>
      </c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>
        <v>-3397</v>
      </c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0" t="n"/>
      <c r="AH100" s="30" t="n"/>
      <c r="AI100" s="30" t="n"/>
      <c r="AJ100" s="30" t="n"/>
      <c r="AK100" s="30" t="n"/>
      <c r="AL100" s="30" t="n"/>
      <c r="AM100" s="30" t="n"/>
      <c r="AN100" s="30" t="n"/>
      <c r="AO100" s="24" t="n"/>
      <c r="AP100" s="24">
        <f>SUM(D100:AO100)</f>
        <v/>
      </c>
      <c r="AQ100" s="24">
        <f>SUM(B100:AO100)</f>
        <v/>
      </c>
      <c r="AR100" s="30" t="n"/>
      <c r="AS100" s="29" t="n"/>
      <c r="AT100" s="30" t="n"/>
      <c r="AU100" s="30" t="n"/>
      <c r="AV100" s="29" t="inlineStr">
        <is>
          <t>COMPOSITE TREX BASIC 5-1/2X12'</t>
        </is>
      </c>
      <c r="AW100" s="24" t="n"/>
      <c r="AX100" s="84" t="n"/>
      <c r="AY100" s="62" t="n">
        <v>27</v>
      </c>
      <c r="AZ100" s="7">
        <f>AQ100*AY100</f>
        <v/>
      </c>
      <c r="BA100" s="7">
        <f>AZ100*1.06</f>
        <v/>
      </c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n"/>
      <c r="DK100" s="24" t="n"/>
      <c r="DL100" s="24" t="n"/>
      <c r="DM100" s="24" t="n"/>
      <c r="DN100" s="24" t="n"/>
      <c r="DO100" s="24" t="n"/>
      <c r="DP100" s="24" t="n"/>
      <c r="DQ100" s="24" t="n"/>
      <c r="DR100" s="24" t="n"/>
      <c r="DS100" s="24" t="n"/>
      <c r="DT100" s="24" t="n"/>
      <c r="DU100" s="24" t="n"/>
      <c r="DV100" s="24">
        <f>SUM(BC100:DS100)</f>
        <v/>
      </c>
      <c r="DW100" s="24">
        <f>DV100*AU100</f>
        <v/>
      </c>
      <c r="DX100" s="24">
        <f>DV100</f>
        <v/>
      </c>
      <c r="DY100" s="7">
        <f>DV100*AY100</f>
        <v/>
      </c>
      <c r="DZ100" s="23">
        <f>DY100*1.07</f>
        <v/>
      </c>
      <c r="EA100" s="22">
        <f>IFERROR(DY100/AZ100,0)</f>
        <v/>
      </c>
      <c r="EB100" s="24" t="n"/>
      <c r="EC100" s="24" t="n"/>
      <c r="ED100" s="24" t="n"/>
      <c r="EE100" s="24">
        <f>IF(EB100&lt;&gt;"",EB100*ED100,0)</f>
        <v/>
      </c>
      <c r="EF100" s="24">
        <f>DV100-EE100</f>
        <v/>
      </c>
      <c r="EG100" s="24">
        <f>EF100*AU100</f>
        <v/>
      </c>
      <c r="EH100" s="24">
        <f>EF100</f>
        <v/>
      </c>
      <c r="EI100" s="24">
        <f>IFERROR(EH100/DV100,0)</f>
        <v/>
      </c>
      <c r="EJ100" s="24">
        <f>IFERROR(EH100*AY100/1000,0)</f>
        <v/>
      </c>
      <c r="EK100" s="24">
        <f>EJ100*1.07</f>
        <v/>
      </c>
      <c r="EL100" s="24" t="n"/>
      <c r="EM100" s="24" t="n"/>
    </row>
    <row r="101" ht="34.9" customFormat="1" customHeight="1" s="12">
      <c r="A101" s="42" t="inlineStr">
        <is>
          <t>Hardware</t>
        </is>
      </c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>
        <v>2547</v>
      </c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0" t="n"/>
      <c r="AK101" s="30" t="n"/>
      <c r="AL101" s="30" t="n"/>
      <c r="AM101" s="30" t="n"/>
      <c r="AN101" s="30" t="n"/>
      <c r="AO101" s="24" t="n"/>
      <c r="AP101" s="24">
        <f>SUM(D101:AO101)</f>
        <v/>
      </c>
      <c r="AQ101" s="24">
        <f>SUM(B101:AO101)</f>
        <v/>
      </c>
      <c r="AR101" s="30" t="n"/>
      <c r="AS101" s="29" t="n"/>
      <c r="AT101" s="30" t="n"/>
      <c r="AU101" s="30" t="n"/>
      <c r="AV101" s="29" t="inlineStr">
        <is>
          <t>COMPOSITE TREX BASIC - SADDLE 5-1/2X16'</t>
        </is>
      </c>
      <c r="AW101" s="24" t="n"/>
      <c r="AX101" s="84" t="n"/>
      <c r="AY101" s="62" t="n">
        <v>30.75</v>
      </c>
      <c r="AZ101" s="7">
        <f>AQ101*AY101</f>
        <v/>
      </c>
      <c r="BA101" s="7">
        <f>AZ101*1.06</f>
        <v/>
      </c>
      <c r="BB101" s="53" t="inlineStr">
        <is>
          <t>68981118 68981151 68981155</t>
        </is>
      </c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>
        <v>2768</v>
      </c>
      <c r="CM101" s="24" t="n"/>
      <c r="CN101" s="24" t="n"/>
      <c r="CO101" s="24" t="n"/>
      <c r="CP101" s="24" t="n"/>
      <c r="CQ101" s="24" t="n"/>
      <c r="CR101" s="24">
        <f>1512</f>
        <v/>
      </c>
      <c r="CS101" s="24" t="n"/>
      <c r="CT101" s="24" t="n"/>
      <c r="CU101" s="24" t="n"/>
      <c r="CV101" s="24" t="n"/>
      <c r="CW101" s="24" t="n"/>
      <c r="CX101" s="24" t="n"/>
      <c r="CY101" s="24" t="n"/>
      <c r="CZ101" s="24">
        <f>275</f>
        <v/>
      </c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n"/>
      <c r="DK101" s="24" t="n"/>
      <c r="DL101" s="24" t="n"/>
      <c r="DM101" s="24" t="n"/>
      <c r="DN101" s="24" t="n"/>
      <c r="DO101" s="24" t="n"/>
      <c r="DP101" s="24" t="n"/>
      <c r="DQ101" s="24" t="n"/>
      <c r="DR101" s="24" t="n"/>
      <c r="DS101" s="24" t="n"/>
      <c r="DT101" s="24" t="n"/>
      <c r="DU101" s="24" t="n"/>
      <c r="DV101" s="24">
        <f>SUM(BC101:DS101)</f>
        <v/>
      </c>
      <c r="DW101" s="24">
        <f>DV101*AU101</f>
        <v/>
      </c>
      <c r="DX101" s="24">
        <f>DV101</f>
        <v/>
      </c>
      <c r="DY101" s="7">
        <f>DV101*AY101</f>
        <v/>
      </c>
      <c r="DZ101" s="23">
        <f>DY101*1.07</f>
        <v/>
      </c>
      <c r="EA101" s="22">
        <f>IFERROR(DY101/AZ101,0)</f>
        <v/>
      </c>
      <c r="EB101" s="24" t="n"/>
      <c r="EC101" s="24" t="n"/>
      <c r="ED101" s="24" t="n"/>
      <c r="EE101" s="24">
        <f>IF(EB101&lt;&gt;"",EB101*ED101,0)</f>
        <v/>
      </c>
      <c r="EF101" s="24">
        <f>DV101-EE101</f>
        <v/>
      </c>
      <c r="EG101" s="24">
        <f>EF101*AU101</f>
        <v/>
      </c>
      <c r="EH101" s="24">
        <f>EF101</f>
        <v/>
      </c>
      <c r="EI101" s="24">
        <f>IFERROR(EH101/DV101,0)</f>
        <v/>
      </c>
      <c r="EJ101" s="24">
        <f>IFERROR(EH101*AY101/1000,0)</f>
        <v/>
      </c>
      <c r="EK101" s="24">
        <f>EJ101*1.07</f>
        <v/>
      </c>
      <c r="EL101" s="24" t="n"/>
      <c r="EM101" s="24" t="n"/>
    </row>
    <row r="102" ht="23.25" customFormat="1" customHeight="1" s="12">
      <c r="A102" s="42" t="inlineStr">
        <is>
          <t>Hardware</t>
        </is>
      </c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>
        <v>9</v>
      </c>
      <c r="U102" s="30" t="n"/>
      <c r="V102" s="30" t="n"/>
      <c r="W102" s="30" t="n"/>
      <c r="X102" s="30" t="n"/>
      <c r="Y102" s="30" t="n"/>
      <c r="Z102" s="30" t="n"/>
      <c r="AA102" s="30" t="n"/>
      <c r="AB102" s="30" t="n"/>
      <c r="AC102" s="30" t="n"/>
      <c r="AD102" s="30" t="n"/>
      <c r="AE102" s="30" t="n"/>
      <c r="AF102" s="30" t="n"/>
      <c r="AG102" s="30" t="n"/>
      <c r="AH102" s="30" t="n"/>
      <c r="AI102" s="30" t="n"/>
      <c r="AJ102" s="30" t="n"/>
      <c r="AK102" s="30" t="n"/>
      <c r="AL102" s="30" t="n"/>
      <c r="AM102" s="30" t="n"/>
      <c r="AN102" s="30" t="n"/>
      <c r="AO102" s="24" t="n"/>
      <c r="AP102" s="24">
        <f>SUM(D102:AO102)</f>
        <v/>
      </c>
      <c r="AQ102" s="24">
        <f>SUM(B102:AO102)</f>
        <v/>
      </c>
      <c r="AR102" s="30" t="n"/>
      <c r="AS102" s="29" t="n"/>
      <c r="AT102" s="30" t="n"/>
      <c r="AU102" s="30" t="n"/>
      <c r="AV102" s="29" t="inlineStr">
        <is>
          <t>TREX COLOR MATCH SCREWS PAIL</t>
        </is>
      </c>
      <c r="AW102" s="24" t="n"/>
      <c r="AX102" s="84" t="n"/>
      <c r="AY102" s="62" t="n">
        <v>460</v>
      </c>
      <c r="AZ102" s="7">
        <f>AQ102*AY102</f>
        <v/>
      </c>
      <c r="BA102" s="7">
        <f>AZ102*1.06</f>
        <v/>
      </c>
      <c r="BB102" s="53" t="inlineStr">
        <is>
          <t>68981118 68981155</t>
        </is>
      </c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>
        <v>18</v>
      </c>
      <c r="CM102" s="24" t="n"/>
      <c r="CN102" s="24" t="n"/>
      <c r="CO102" s="24" t="n"/>
      <c r="CP102" s="24" t="n"/>
      <c r="CQ102" s="24" t="n"/>
      <c r="CR102" s="24" t="n"/>
      <c r="CS102" s="24" t="n"/>
      <c r="CT102" s="24" t="n"/>
      <c r="CU102" s="24" t="n"/>
      <c r="CV102" s="24" t="n"/>
      <c r="CW102" s="24" t="n"/>
      <c r="CX102" s="24" t="n"/>
      <c r="CY102" s="24" t="n"/>
      <c r="CZ102" s="24">
        <f>9</f>
        <v/>
      </c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n"/>
      <c r="DK102" s="24" t="n"/>
      <c r="DL102" s="24" t="n"/>
      <c r="DM102" s="24" t="n"/>
      <c r="DN102" s="24" t="n"/>
      <c r="DO102" s="24" t="n"/>
      <c r="DP102" s="24" t="n"/>
      <c r="DQ102" s="24" t="n"/>
      <c r="DR102" s="24" t="n"/>
      <c r="DS102" s="24" t="n"/>
      <c r="DT102" s="24" t="n"/>
      <c r="DU102" s="24" t="n"/>
      <c r="DV102" s="24">
        <f>SUM(BC102:DS102)</f>
        <v/>
      </c>
      <c r="DW102" s="24">
        <f>DV102*AU102</f>
        <v/>
      </c>
      <c r="DX102" s="24">
        <f>DV102</f>
        <v/>
      </c>
      <c r="DY102" s="7">
        <f>DV102*AY102</f>
        <v/>
      </c>
      <c r="DZ102" s="23">
        <f>DY102*1.07</f>
        <v/>
      </c>
      <c r="EA102" s="22">
        <f>IFERROR(DY102/AZ102,0)</f>
        <v/>
      </c>
      <c r="EB102" s="24" t="n"/>
      <c r="EC102" s="24" t="n"/>
      <c r="ED102" s="24" t="n"/>
      <c r="EE102" s="24">
        <f>IF(EB102&lt;&gt;"",EB102*ED102,0)</f>
        <v/>
      </c>
      <c r="EF102" s="24">
        <f>DV102-EE102</f>
        <v/>
      </c>
      <c r="EG102" s="24">
        <f>EF102*AU102</f>
        <v/>
      </c>
      <c r="EH102" s="24">
        <f>EF102</f>
        <v/>
      </c>
      <c r="EI102" s="24">
        <f>IFERROR(EH102/DV102,0)</f>
        <v/>
      </c>
      <c r="EJ102" s="24">
        <f>IFERROR(EH102*AY102/1000,0)</f>
        <v/>
      </c>
      <c r="EK102" s="24">
        <f>EJ102*1.07</f>
        <v/>
      </c>
      <c r="EL102" s="24" t="n"/>
      <c r="EM102" s="24" t="n"/>
    </row>
    <row r="103" ht="11.65" customFormat="1" customHeight="1" s="12">
      <c r="A103" s="42" t="inlineStr">
        <is>
          <t>Hardware</t>
        </is>
      </c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>
        <v>23</v>
      </c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0" t="n"/>
      <c r="AE103" s="30" t="n"/>
      <c r="AF103" s="30" t="n"/>
      <c r="AG103" s="30" t="n"/>
      <c r="AH103" s="30" t="n"/>
      <c r="AI103" s="30" t="n"/>
      <c r="AJ103" s="30" t="n"/>
      <c r="AK103" s="30" t="n"/>
      <c r="AL103" s="30" t="n"/>
      <c r="AM103" s="30" t="n"/>
      <c r="AN103" s="30" t="n"/>
      <c r="AO103" s="24" t="n"/>
      <c r="AP103" s="24">
        <f>SUM(D103:AO103)</f>
        <v/>
      </c>
      <c r="AQ103" s="24">
        <f>SUM(B103:AO103)</f>
        <v/>
      </c>
      <c r="AR103" s="30" t="n"/>
      <c r="AS103" s="29" t="n"/>
      <c r="AT103" s="30" t="n"/>
      <c r="AU103" s="30" t="n"/>
      <c r="AV103" s="29" t="inlineStr">
        <is>
          <t>TREX HIDDEN FASTENERS BUCKET</t>
        </is>
      </c>
      <c r="AW103" s="24" t="n"/>
      <c r="AX103" s="84" t="n"/>
      <c r="AY103" s="62" t="n">
        <v>265</v>
      </c>
      <c r="AZ103" s="7">
        <f>AQ103*AY103</f>
        <v/>
      </c>
      <c r="BA103" s="7">
        <f>AZ103*1.06</f>
        <v/>
      </c>
      <c r="BB103" s="24" t="n">
        <v>68981118</v>
      </c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>
        <v>46</v>
      </c>
      <c r="CM103" s="24" t="n"/>
      <c r="CN103" s="24" t="n"/>
      <c r="CO103" s="24" t="n"/>
      <c r="CP103" s="24" t="n"/>
      <c r="CQ103" s="24" t="n"/>
      <c r="CR103" s="24" t="n"/>
      <c r="CS103" s="24" t="n"/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n"/>
      <c r="DK103" s="24" t="n"/>
      <c r="DL103" s="24" t="n"/>
      <c r="DM103" s="24" t="n"/>
      <c r="DN103" s="24" t="n"/>
      <c r="DO103" s="24" t="n"/>
      <c r="DP103" s="24" t="n"/>
      <c r="DQ103" s="24" t="n"/>
      <c r="DR103" s="24" t="n"/>
      <c r="DS103" s="24" t="n"/>
      <c r="DT103" s="24" t="n"/>
      <c r="DU103" s="24" t="n"/>
      <c r="DV103" s="24">
        <f>SUM(BC103:DS103)</f>
        <v/>
      </c>
      <c r="DW103" s="24">
        <f>DV103*AU103</f>
        <v/>
      </c>
      <c r="DX103" s="24">
        <f>DV103</f>
        <v/>
      </c>
      <c r="DY103" s="7">
        <f>DV103*AY103</f>
        <v/>
      </c>
      <c r="DZ103" s="23">
        <f>DY103*1.07</f>
        <v/>
      </c>
      <c r="EA103" s="22">
        <f>IFERROR(DY103/AZ103,0)</f>
        <v/>
      </c>
      <c r="EB103" s="24" t="n"/>
      <c r="EC103" s="24" t="n"/>
      <c r="ED103" s="24" t="n"/>
      <c r="EE103" s="24">
        <f>IF(EB103&lt;&gt;"",EB103*ED103,0)</f>
        <v/>
      </c>
      <c r="EF103" s="24">
        <f>DV103-EE103</f>
        <v/>
      </c>
      <c r="EG103" s="24">
        <f>EF103*AU103</f>
        <v/>
      </c>
      <c r="EH103" s="24">
        <f>EF103</f>
        <v/>
      </c>
      <c r="EI103" s="24">
        <f>IFERROR(EH103/DV103,0)</f>
        <v/>
      </c>
      <c r="EJ103" s="24">
        <f>IFERROR(EH103*AY103/1000,0)</f>
        <v/>
      </c>
      <c r="EK103" s="24">
        <f>EJ103*1.07</f>
        <v/>
      </c>
      <c r="EL103" s="24" t="n"/>
      <c r="EM103" s="24" t="n"/>
    </row>
    <row r="104" ht="11.65" customFormat="1" customHeight="1" s="94">
      <c r="A104" s="99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  <c r="AA104" s="101" t="n"/>
      <c r="AB104" s="101" t="n"/>
      <c r="AC104" s="101" t="n"/>
      <c r="AD104" s="101" t="n"/>
      <c r="AE104" s="101" t="n"/>
      <c r="AF104" s="101" t="n"/>
      <c r="AG104" s="101" t="n"/>
      <c r="AH104" s="101" t="n"/>
      <c r="AI104" s="101" t="n"/>
      <c r="AJ104" s="101" t="n"/>
      <c r="AK104" s="101" t="n"/>
      <c r="AL104" s="101" t="n"/>
      <c r="AM104" s="101" t="n"/>
      <c r="AN104" s="101" t="n"/>
      <c r="AR104" s="100" t="n"/>
      <c r="AS104" s="100" t="n"/>
      <c r="AV104" s="99" t="n"/>
      <c r="AY104" s="98" t="n"/>
      <c r="AZ104" s="97" t="n"/>
      <c r="BA104" s="97" t="n"/>
      <c r="DZ104" s="96" t="n"/>
      <c r="EA104" s="95" t="n"/>
    </row>
    <row r="105" ht="12" customFormat="1" customHeight="1" s="24">
      <c r="A105" s="78" t="inlineStr">
        <is>
          <t>Panels</t>
        </is>
      </c>
      <c r="B105" s="30" t="n">
        <v>859</v>
      </c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>
        <v>-859</v>
      </c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30" t="n"/>
      <c r="AP105" s="24">
        <f>SUM(D105:AO105)</f>
        <v/>
      </c>
      <c r="AQ105" s="24">
        <f>SUM(B105:AO105)</f>
        <v/>
      </c>
      <c r="AR105" s="30" t="n">
        <v>4</v>
      </c>
      <c r="AS105" s="29" t="inlineStr">
        <is>
          <t>x</t>
        </is>
      </c>
      <c r="AT105" s="24" t="n">
        <v>8</v>
      </c>
      <c r="AV105" s="29" t="inlineStr">
        <is>
          <t>23/32" OSB SE</t>
        </is>
      </c>
      <c r="AX105" s="24">
        <f>AQ105*AR105*AT105</f>
        <v/>
      </c>
      <c r="AY105" s="62" t="n">
        <v>695</v>
      </c>
      <c r="AZ105" s="7">
        <f>(AX105*AY105)/1000</f>
        <v/>
      </c>
      <c r="BA105" s="7">
        <f>AZ105*1.06</f>
        <v/>
      </c>
      <c r="DV105" s="24">
        <f>SUM(BC105:DS105)</f>
        <v/>
      </c>
      <c r="DW105">
        <f>DV105*AU105</f>
        <v/>
      </c>
      <c r="DX105" s="24">
        <f>DV105*AR105*AT105</f>
        <v/>
      </c>
      <c r="DY105" s="7">
        <f>DX105*AY105/1000</f>
        <v/>
      </c>
      <c r="DZ105" s="23">
        <f>DY105*1.07</f>
        <v/>
      </c>
      <c r="EA105" s="22">
        <f>IFERROR(DY105/AZ105,0)</f>
        <v/>
      </c>
      <c r="EE105">
        <f>IF(EB105&lt;&gt;"",EB105*ED105,0)</f>
        <v/>
      </c>
      <c r="EF105">
        <f>DV105-EE105</f>
        <v/>
      </c>
      <c r="EG105">
        <f>EF105*AU105</f>
        <v/>
      </c>
      <c r="EH105">
        <f>EF105*AR105*AT105</f>
        <v/>
      </c>
      <c r="EI105">
        <f>IFERROR(EH105/DV105,0)</f>
        <v/>
      </c>
      <c r="EJ105">
        <f>IFERROR(EH105*AY105/1000,0)</f>
        <v/>
      </c>
      <c r="EK105">
        <f>EJ105*1.07</f>
        <v/>
      </c>
    </row>
    <row r="106" ht="117" customFormat="1" customHeight="1" s="12">
      <c r="A106" s="93" t="inlineStr">
        <is>
          <t>Panels</t>
        </is>
      </c>
      <c r="B106" s="355" t="n">
        <v>5657</v>
      </c>
      <c r="C106" s="355" t="n"/>
      <c r="D106" s="355" t="n"/>
      <c r="E106" s="355" t="n"/>
      <c r="F106" s="355" t="n"/>
      <c r="G106" s="355" t="n"/>
      <c r="H106" s="355" t="n"/>
      <c r="I106" s="355" t="n"/>
      <c r="J106" s="355" t="n"/>
      <c r="K106" s="355" t="n">
        <v>499</v>
      </c>
      <c r="L106" s="355" t="n"/>
      <c r="M106" s="355" t="n"/>
      <c r="N106" s="355" t="n"/>
      <c r="O106" s="355" t="n"/>
      <c r="P106" s="355" t="n"/>
      <c r="Q106" s="355" t="n"/>
      <c r="R106" s="355" t="n"/>
      <c r="S106" s="355" t="n"/>
      <c r="T106" s="355" t="n"/>
      <c r="U106" s="355" t="n"/>
      <c r="V106" s="355" t="n"/>
      <c r="W106" s="355" t="n">
        <v>831</v>
      </c>
      <c r="X106" s="355" t="n"/>
      <c r="Y106" s="355" t="n"/>
      <c r="Z106" s="355" t="n"/>
      <c r="AA106" s="355" t="n"/>
      <c r="AB106" s="355" t="n">
        <v>408</v>
      </c>
      <c r="AC106" s="355" t="n"/>
      <c r="AD106" s="355" t="n"/>
      <c r="AE106" s="355" t="n"/>
      <c r="AF106" s="355" t="n"/>
      <c r="AG106" s="355" t="n"/>
      <c r="AH106" s="355" t="n"/>
      <c r="AI106" s="355" t="n"/>
      <c r="AJ106" s="355" t="n"/>
      <c r="AK106" s="355" t="n"/>
      <c r="AL106" s="355" t="n"/>
      <c r="AM106" s="355" t="n"/>
      <c r="AN106" s="355" t="n"/>
      <c r="AO106" s="65" t="n"/>
      <c r="AP106" s="24">
        <f>SUM(D106:AO106)</f>
        <v/>
      </c>
      <c r="AQ106" s="24">
        <f>SUM(B106:AO106)</f>
        <v/>
      </c>
      <c r="AR106" s="355" t="n">
        <v>4</v>
      </c>
      <c r="AS106" s="357" t="inlineStr">
        <is>
          <t>x</t>
        </is>
      </c>
      <c r="AT106" s="65" t="n">
        <v>8</v>
      </c>
      <c r="AU106" s="65" t="n"/>
      <c r="AV106" s="357" t="inlineStr">
        <is>
          <t>23/32" OSB T&amp;G</t>
        </is>
      </c>
      <c r="AW106" s="65" t="n"/>
      <c r="AX106" s="65">
        <f>AQ106*AR106*AT106</f>
        <v/>
      </c>
      <c r="AY106" s="69" t="n">
        <v>695</v>
      </c>
      <c r="AZ106" s="7">
        <f>(AX106*AY106)/1000</f>
        <v/>
      </c>
      <c r="BA106" s="68">
        <f>AZ106*1.06</f>
        <v/>
      </c>
      <c r="BB106" s="53" t="inlineStr">
        <is>
          <t>68981046 68981128 68981129 68981145 68981146 68981164
68981065
68981068
68981074
68981093
68981094
68981095
68981052</t>
        </is>
      </c>
      <c r="BC106" s="92" t="n"/>
      <c r="BD106" s="92" t="n"/>
      <c r="BE106" s="92" t="n"/>
      <c r="BF106" s="65" t="n"/>
      <c r="BG106" s="65" t="n"/>
      <c r="BH106" s="65" t="n"/>
      <c r="BI106" s="65" t="n"/>
      <c r="BJ106" s="65" t="n"/>
      <c r="BK106" s="65" t="n"/>
      <c r="BL106" s="65" t="n"/>
      <c r="BM106" s="65" t="n"/>
      <c r="BN106" s="65" t="n"/>
      <c r="BO106" s="65" t="n"/>
      <c r="BP106" s="65" t="n"/>
      <c r="BQ106" s="65">
        <f>612+612</f>
        <v/>
      </c>
      <c r="BR106" s="65" t="n">
        <v>1224</v>
      </c>
      <c r="BS106" s="65" t="n"/>
      <c r="BT106" s="65" t="n"/>
      <c r="BU106" s="65" t="n"/>
      <c r="BV106" s="65">
        <f>612+612</f>
        <v/>
      </c>
      <c r="BW106" s="65">
        <f>255</f>
        <v/>
      </c>
      <c r="BX106" s="65" t="n"/>
      <c r="BY106" s="65" t="n"/>
      <c r="BZ106" s="65" t="n"/>
      <c r="CA106" s="65">
        <f>612+612+612</f>
        <v/>
      </c>
      <c r="CB106" s="65" t="n"/>
      <c r="CC106" s="65" t="n"/>
      <c r="CD106" s="65" t="n"/>
      <c r="CE106" s="65" t="n"/>
      <c r="CF106" s="65" t="n"/>
      <c r="CG106" s="65" t="n"/>
      <c r="CH106" s="65" t="n"/>
      <c r="CI106" s="65" t="n"/>
      <c r="CJ106" s="65" t="n"/>
      <c r="CK106" s="65" t="n"/>
      <c r="CL106" s="65" t="n"/>
      <c r="CM106" s="65">
        <f>612</f>
        <v/>
      </c>
      <c r="CN106" s="65">
        <f>612</f>
        <v/>
      </c>
      <c r="CO106" s="65" t="n"/>
      <c r="CP106" s="65" t="n"/>
      <c r="CQ106" s="65" t="n"/>
      <c r="CR106" s="65" t="n"/>
      <c r="CS106" s="65" t="n"/>
      <c r="CT106" s="65">
        <f>612</f>
        <v/>
      </c>
      <c r="CU106" s="65" t="n"/>
      <c r="CV106" s="65">
        <f>612</f>
        <v/>
      </c>
      <c r="CW106" s="65" t="n"/>
      <c r="CX106" s="65" t="n"/>
      <c r="CY106" s="65" t="n"/>
      <c r="CZ106" s="65" t="n"/>
      <c r="DA106" s="65" t="n"/>
      <c r="DB106" s="65" t="n"/>
      <c r="DC106" s="65" t="n"/>
      <c r="DD106" s="65" t="n"/>
      <c r="DE106" s="65">
        <f>408</f>
        <v/>
      </c>
      <c r="DF106" s="65" t="n"/>
      <c r="DG106" s="65" t="n"/>
      <c r="DH106" s="65" t="n"/>
      <c r="DI106" s="65" t="n"/>
      <c r="DJ106" s="65" t="n"/>
      <c r="DK106" s="65" t="n"/>
      <c r="DL106" s="65" t="n"/>
      <c r="DM106" s="65" t="n"/>
      <c r="DN106" s="65" t="n"/>
      <c r="DO106" s="65" t="n"/>
      <c r="DP106" s="65" t="n"/>
      <c r="DQ106" s="65" t="n"/>
      <c r="DR106" s="65" t="n"/>
      <c r="DS106" s="65" t="n"/>
      <c r="DT106" s="65" t="n"/>
      <c r="DU106" s="65" t="n"/>
      <c r="DV106" s="24">
        <f>SUM(BC106:DS106)</f>
        <v/>
      </c>
      <c r="DW106" s="24">
        <f>DV106*AU106</f>
        <v/>
      </c>
      <c r="DX106" s="24">
        <f>DV106*AR106*AT106</f>
        <v/>
      </c>
      <c r="DY106" s="7">
        <f>DX106*AY106/1000</f>
        <v/>
      </c>
      <c r="DZ106" s="23">
        <f>DY106*1.07</f>
        <v/>
      </c>
      <c r="EA106" s="22">
        <f>IFERROR(DY106/AZ106,0)</f>
        <v/>
      </c>
      <c r="EB106" s="65" t="n"/>
      <c r="EC106" s="65" t="n"/>
      <c r="ED106" s="65" t="n"/>
      <c r="EE106" s="65">
        <f>IF(EB106&lt;&gt;"",EB106*ED106,0)</f>
        <v/>
      </c>
      <c r="EF106" s="65">
        <f>DV106-EE106</f>
        <v/>
      </c>
      <c r="EG106" s="65">
        <f>EF106*AU106</f>
        <v/>
      </c>
      <c r="EH106" s="65">
        <f>EF106*AR106*AT106</f>
        <v/>
      </c>
      <c r="EI106" s="65">
        <f>IFERROR(EH106/DV106,0)</f>
        <v/>
      </c>
      <c r="EJ106" s="65">
        <f>IFERROR(EH106*AY106/1000,0)</f>
        <v/>
      </c>
      <c r="EK106" s="65">
        <f>EJ106*1.07</f>
        <v/>
      </c>
      <c r="EL106" s="65" t="n"/>
      <c r="EM106" s="65" t="n"/>
    </row>
    <row r="107" ht="11.65" customFormat="1" customHeight="1" s="12">
      <c r="A107" s="93" t="n"/>
      <c r="B107" s="355" t="n"/>
      <c r="C107" s="355" t="n"/>
      <c r="D107" s="355" t="n"/>
      <c r="E107" s="355" t="n"/>
      <c r="F107" s="355" t="n"/>
      <c r="G107" s="355" t="n"/>
      <c r="H107" s="355" t="n"/>
      <c r="I107" s="355" t="n"/>
      <c r="J107" s="355" t="n"/>
      <c r="K107" s="355" t="n"/>
      <c r="L107" s="355" t="n"/>
      <c r="M107" s="355" t="n"/>
      <c r="N107" s="355" t="n"/>
      <c r="O107" s="355" t="n"/>
      <c r="P107" s="355" t="n"/>
      <c r="Q107" s="355" t="n"/>
      <c r="R107" s="355" t="n"/>
      <c r="S107" s="355" t="n"/>
      <c r="T107" s="355" t="n"/>
      <c r="U107" s="355" t="n"/>
      <c r="V107" s="355" t="n"/>
      <c r="W107" s="355" t="n"/>
      <c r="X107" s="355" t="n"/>
      <c r="Y107" s="355" t="n"/>
      <c r="Z107" s="355" t="n">
        <v>24</v>
      </c>
      <c r="AA107" s="355" t="n"/>
      <c r="AB107" s="355" t="n"/>
      <c r="AC107" s="355" t="n"/>
      <c r="AD107" s="355" t="n"/>
      <c r="AE107" s="355" t="n"/>
      <c r="AF107" s="355" t="n"/>
      <c r="AG107" s="355" t="n"/>
      <c r="AH107" s="355" t="n"/>
      <c r="AI107" s="355" t="n"/>
      <c r="AJ107" s="355" t="n"/>
      <c r="AK107" s="355" t="n"/>
      <c r="AL107" s="355" t="n"/>
      <c r="AM107" s="355" t="n"/>
      <c r="AN107" s="355" t="n"/>
      <c r="AO107" s="65" t="n"/>
      <c r="AP107" s="24">
        <f>SUM(D107:AO107)</f>
        <v/>
      </c>
      <c r="AQ107" s="24">
        <f>SUM(B107:AO107)</f>
        <v/>
      </c>
      <c r="AR107" s="355" t="n">
        <v>4</v>
      </c>
      <c r="AS107" s="357" t="inlineStr">
        <is>
          <t>x</t>
        </is>
      </c>
      <c r="AT107" s="65" t="n">
        <v>8</v>
      </c>
      <c r="AU107" s="65" t="n"/>
      <c r="AV107" s="357" t="inlineStr">
        <is>
          <t>23/32" PLY FRT</t>
        </is>
      </c>
      <c r="AW107" s="65" t="n"/>
      <c r="AX107" s="65">
        <f>AQ107*AR107*AT107</f>
        <v/>
      </c>
      <c r="AY107" s="69" t="n">
        <v>1705</v>
      </c>
      <c r="AZ107" s="7">
        <f>(AX107*AY107)/1000</f>
        <v/>
      </c>
      <c r="BA107" s="68">
        <f>AZ107*1.07</f>
        <v/>
      </c>
      <c r="BB107" s="53" t="n">
        <v>68981154</v>
      </c>
      <c r="BC107" s="92" t="n"/>
      <c r="BD107" s="92" t="n"/>
      <c r="BE107" s="92" t="n"/>
      <c r="BF107" s="65" t="n"/>
      <c r="BG107" s="65" t="n"/>
      <c r="BH107" s="65" t="n"/>
      <c r="BI107" s="65" t="n"/>
      <c r="BJ107" s="65" t="n"/>
      <c r="BK107" s="65" t="n"/>
      <c r="BL107" s="65" t="n"/>
      <c r="BM107" s="65" t="n"/>
      <c r="BN107" s="65" t="n"/>
      <c r="BO107" s="65" t="n"/>
      <c r="BP107" s="65" t="n"/>
      <c r="BQ107" s="65" t="n"/>
      <c r="BR107" s="65" t="n"/>
      <c r="BS107" s="65" t="n"/>
      <c r="BT107" s="65" t="n"/>
      <c r="BU107" s="65" t="n"/>
      <c r="BV107" s="65" t="n"/>
      <c r="BW107" s="65" t="n"/>
      <c r="BX107" s="65" t="n"/>
      <c r="BY107" s="65" t="n"/>
      <c r="BZ107" s="65" t="n"/>
      <c r="CA107" s="65" t="n"/>
      <c r="CB107" s="65" t="n"/>
      <c r="CC107" s="65" t="n"/>
      <c r="CD107" s="65" t="n"/>
      <c r="CE107" s="65" t="n"/>
      <c r="CF107" s="65" t="n"/>
      <c r="CG107" s="65" t="n"/>
      <c r="CH107" s="65" t="n"/>
      <c r="CI107" s="65" t="n"/>
      <c r="CJ107" s="65" t="n"/>
      <c r="CK107" s="65" t="n"/>
      <c r="CL107" s="65" t="n"/>
      <c r="CM107" s="65" t="n"/>
      <c r="CN107" s="65" t="n"/>
      <c r="CO107" s="65" t="n"/>
      <c r="CP107" s="65" t="n"/>
      <c r="CQ107" s="65" t="n"/>
      <c r="CR107" s="65" t="n"/>
      <c r="CS107" s="65" t="n"/>
      <c r="CT107" s="65" t="n"/>
      <c r="CU107" s="65" t="n"/>
      <c r="CV107" s="65" t="n"/>
      <c r="CW107" s="65" t="n"/>
      <c r="CX107" s="65" t="n"/>
      <c r="CY107" s="65">
        <f>24</f>
        <v/>
      </c>
      <c r="CZ107" s="65" t="n"/>
      <c r="DA107" s="65" t="n"/>
      <c r="DB107" s="65" t="n"/>
      <c r="DC107" s="65" t="n"/>
      <c r="DD107" s="65" t="n"/>
      <c r="DE107" s="65" t="n"/>
      <c r="DF107" s="65" t="n"/>
      <c r="DG107" s="65" t="n"/>
      <c r="DH107" s="65" t="n"/>
      <c r="DI107" s="65" t="n"/>
      <c r="DJ107" s="65" t="n"/>
      <c r="DK107" s="65" t="n"/>
      <c r="DL107" s="65" t="n"/>
      <c r="DM107" s="65" t="n"/>
      <c r="DN107" s="65" t="n"/>
      <c r="DO107" s="65" t="n"/>
      <c r="DP107" s="65" t="n"/>
      <c r="DQ107" s="65" t="n"/>
      <c r="DR107" s="65" t="n"/>
      <c r="DS107" s="65" t="n"/>
      <c r="DT107" s="65" t="n"/>
      <c r="DU107" s="65" t="n"/>
      <c r="DV107" s="24">
        <f>SUM(BC107:DU107)</f>
        <v/>
      </c>
      <c r="DW107" s="24" t="n"/>
      <c r="DX107" s="24">
        <f>DV107*AR107*AT107</f>
        <v/>
      </c>
      <c r="DY107" s="7">
        <f>DX107*AY107/1000</f>
        <v/>
      </c>
      <c r="DZ107" s="23">
        <f>DY107*1.06</f>
        <v/>
      </c>
      <c r="EA107" s="22">
        <f>IFERROR(DY107/AZ107,0)</f>
        <v/>
      </c>
      <c r="EB107" s="65" t="n"/>
      <c r="EC107" s="65" t="n"/>
      <c r="ED107" s="65" t="n"/>
      <c r="EE107" s="65" t="n"/>
      <c r="EF107" s="65" t="n"/>
      <c r="EG107" s="65" t="n"/>
      <c r="EH107" s="65" t="n"/>
      <c r="EI107" s="65" t="n"/>
      <c r="EJ107" s="65" t="n"/>
      <c r="EK107" s="65" t="n"/>
      <c r="EL107" s="65" t="n"/>
      <c r="EM107" s="65" t="n"/>
    </row>
    <row r="108" ht="100.5" customFormat="1" customHeight="1" s="12">
      <c r="A108" s="93" t="n"/>
      <c r="B108" s="30" t="n">
        <v>3713</v>
      </c>
      <c r="C108" s="30" t="n">
        <v>-172</v>
      </c>
      <c r="D108" s="355" t="n"/>
      <c r="E108" s="355" t="n"/>
      <c r="F108" s="355" t="n"/>
      <c r="G108" s="355" t="n"/>
      <c r="H108" s="355" t="n"/>
      <c r="I108" s="355" t="n"/>
      <c r="J108" s="355" t="n"/>
      <c r="K108" s="355" t="n">
        <v>1065</v>
      </c>
      <c r="L108" s="355" t="n"/>
      <c r="M108" s="355" t="n"/>
      <c r="N108" s="355" t="n"/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  <c r="Y108" s="355" t="n"/>
      <c r="Z108" s="355" t="n"/>
      <c r="AA108" s="355" t="n"/>
      <c r="AB108" s="355" t="n"/>
      <c r="AC108" s="355" t="n"/>
      <c r="AD108" s="355" t="n"/>
      <c r="AE108" s="355" t="n">
        <v>46</v>
      </c>
      <c r="AF108" s="355" t="n"/>
      <c r="AG108" s="355" t="n"/>
      <c r="AH108" s="355" t="n"/>
      <c r="AI108" s="355" t="n"/>
      <c r="AJ108" s="355" t="n"/>
      <c r="AK108" s="355" t="n">
        <v>1086</v>
      </c>
      <c r="AL108" s="355" t="n"/>
      <c r="AM108" s="355" t="n">
        <v>330</v>
      </c>
      <c r="AN108" s="355" t="n"/>
      <c r="AO108" s="65" t="n"/>
      <c r="AP108" s="24">
        <f>SUM(D108:AO108)</f>
        <v/>
      </c>
      <c r="AQ108" s="24">
        <f>SUM(B108:AO108)</f>
        <v/>
      </c>
      <c r="AR108" s="355" t="n">
        <v>4</v>
      </c>
      <c r="AS108" s="357" t="inlineStr">
        <is>
          <t>x</t>
        </is>
      </c>
      <c r="AT108" s="65" t="n">
        <v>8</v>
      </c>
      <c r="AU108" s="65" t="n"/>
      <c r="AV108" s="357" t="inlineStr">
        <is>
          <t>19/32" OSB SE</t>
        </is>
      </c>
      <c r="AW108" s="65" t="n"/>
      <c r="AX108" s="65">
        <f>AQ108*AR108*AT108</f>
        <v/>
      </c>
      <c r="AY108" s="69" t="n">
        <v>635</v>
      </c>
      <c r="AZ108" s="7">
        <f>(AX108*AY108)/1000</f>
        <v/>
      </c>
      <c r="BA108" s="68">
        <f>AZ108*1.06</f>
        <v/>
      </c>
      <c r="BB108" s="53" t="inlineStr">
        <is>
          <t>68981001 68981132 68981131 68981171
68981002
68981003
68981004
68981178
68981179</t>
        </is>
      </c>
      <c r="BC108" s="92" t="n"/>
      <c r="BD108" s="92" t="n"/>
      <c r="BE108" s="92" t="n"/>
      <c r="BF108" s="65" t="n"/>
      <c r="BG108" s="65" t="n"/>
      <c r="BH108" s="65" t="n"/>
      <c r="BI108" s="65" t="n"/>
      <c r="BJ108" s="65" t="n"/>
      <c r="BK108" s="65" t="n"/>
      <c r="BL108" s="65" t="n"/>
      <c r="BM108" s="65" t="n"/>
      <c r="BN108" s="65" t="n"/>
      <c r="BO108" s="65" t="n"/>
      <c r="BP108" s="65" t="n"/>
      <c r="BQ108" s="65" t="n"/>
      <c r="BR108" s="65" t="n"/>
      <c r="BS108" s="65" t="n"/>
      <c r="BT108" s="65" t="n"/>
      <c r="BU108" s="65" t="n"/>
      <c r="BV108" s="65" t="n"/>
      <c r="BW108" s="65" t="n"/>
      <c r="BX108" s="65">
        <f>680+720+724</f>
        <v/>
      </c>
      <c r="BY108" s="65" t="n"/>
      <c r="BZ108" s="65" t="n"/>
      <c r="CA108" s="65" t="n"/>
      <c r="CB108" s="65" t="n"/>
      <c r="CC108" s="65" t="n"/>
      <c r="CD108" s="65" t="n"/>
      <c r="CE108" s="65" t="n"/>
      <c r="CF108" s="65" t="n"/>
      <c r="CG108" s="65" t="n"/>
      <c r="CH108" s="65" t="n"/>
      <c r="CI108" s="65" t="n"/>
      <c r="CJ108" s="65" t="n"/>
      <c r="CK108" s="65">
        <f>720</f>
        <v/>
      </c>
      <c r="CL108" s="65">
        <f>660</f>
        <v/>
      </c>
      <c r="CM108" s="65" t="n"/>
      <c r="CN108" s="65" t="n"/>
      <c r="CO108" s="65" t="n"/>
      <c r="CP108" s="65">
        <f>660</f>
        <v/>
      </c>
      <c r="CQ108" s="65" t="n"/>
      <c r="CR108" s="65" t="n"/>
      <c r="CS108" s="65" t="n"/>
      <c r="CT108" s="65" t="n"/>
      <c r="CU108" s="65" t="n"/>
      <c r="CV108" s="65" t="n"/>
      <c r="CW108" s="65" t="n"/>
      <c r="CX108" s="65" t="n"/>
      <c r="CY108" s="65" t="n"/>
      <c r="CZ108" s="65" t="n"/>
      <c r="DA108" s="65" t="n"/>
      <c r="DB108" s="65" t="n"/>
      <c r="DC108" s="65" t="n"/>
      <c r="DD108" s="65" t="n"/>
      <c r="DE108" s="65" t="n"/>
      <c r="DF108" s="65" t="n"/>
      <c r="DG108" s="65" t="n"/>
      <c r="DH108" s="65" t="n"/>
      <c r="DI108" s="65" t="n"/>
      <c r="DJ108" s="65">
        <f>660</f>
        <v/>
      </c>
      <c r="DK108" s="65" t="n"/>
      <c r="DL108" s="65" t="n"/>
      <c r="DM108" s="65" t="n"/>
      <c r="DN108" s="65" t="n"/>
      <c r="DO108" s="65" t="n"/>
      <c r="DP108" s="65" t="n">
        <v>330</v>
      </c>
      <c r="DQ108" s="65" t="n"/>
      <c r="DR108" s="65" t="n"/>
      <c r="DS108" s="65" t="n">
        <v>756</v>
      </c>
      <c r="DT108" s="65" t="n"/>
      <c r="DU108" s="65" t="n"/>
      <c r="DV108" s="24">
        <f>SUM(BC108:DU108)</f>
        <v/>
      </c>
      <c r="DW108" s="24" t="n"/>
      <c r="DX108" s="24">
        <f>DV108*AR108*AT108</f>
        <v/>
      </c>
      <c r="DY108" s="7">
        <f>DX108*AY108/1000</f>
        <v/>
      </c>
      <c r="DZ108" s="23">
        <f>DY108*1.06</f>
        <v/>
      </c>
      <c r="EA108" s="22">
        <f>IFERROR(DY108/AZ108,0)</f>
        <v/>
      </c>
      <c r="EB108" s="65" t="n"/>
      <c r="EC108" s="65" t="n"/>
      <c r="ED108" s="65" t="n"/>
      <c r="EE108" s="65" t="n"/>
      <c r="EF108" s="65" t="n"/>
      <c r="EG108" s="65" t="n"/>
      <c r="EH108" s="65" t="n"/>
      <c r="EI108" s="65" t="n"/>
      <c r="EJ108" s="65" t="n"/>
      <c r="EK108" s="65" t="n"/>
      <c r="EL108" s="65" t="n"/>
      <c r="EM108" s="65" t="n"/>
    </row>
    <row r="109" ht="11.65" customFormat="1" customHeight="1" s="12">
      <c r="A109" s="91" t="n"/>
      <c r="B109" s="354" t="n"/>
      <c r="C109" s="354" t="n"/>
      <c r="D109" s="354" t="n"/>
      <c r="E109" s="354" t="n">
        <v>3</v>
      </c>
      <c r="F109" s="354" t="n"/>
      <c r="G109" s="354" t="n"/>
      <c r="H109" s="354" t="n"/>
      <c r="I109" s="354" t="n"/>
      <c r="J109" s="354" t="n"/>
      <c r="K109" s="354" t="n"/>
      <c r="L109" s="354" t="n"/>
      <c r="M109" s="354" t="n"/>
      <c r="N109" s="354" t="n"/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  <c r="Y109" s="354" t="n"/>
      <c r="Z109" s="354" t="n"/>
      <c r="AA109" s="354" t="n"/>
      <c r="AB109" s="354" t="n"/>
      <c r="AC109" s="354" t="n"/>
      <c r="AD109" s="354" t="n"/>
      <c r="AE109" s="354" t="n"/>
      <c r="AF109" s="354" t="n"/>
      <c r="AG109" s="354" t="n"/>
      <c r="AH109" s="354" t="n"/>
      <c r="AI109" s="354" t="n"/>
      <c r="AJ109" s="354" t="n"/>
      <c r="AK109" s="354" t="n"/>
      <c r="AL109" s="354" t="n"/>
      <c r="AM109" s="354" t="n"/>
      <c r="AN109" s="354" t="n"/>
      <c r="AO109" s="34" t="n"/>
      <c r="AP109" s="24">
        <f>SUM(D109:AO109)</f>
        <v/>
      </c>
      <c r="AQ109" s="24">
        <f>SUM(B109:AO109)</f>
        <v/>
      </c>
      <c r="AR109" s="30" t="n">
        <v>4</v>
      </c>
      <c r="AS109" s="29" t="inlineStr">
        <is>
          <t>x</t>
        </is>
      </c>
      <c r="AT109" s="24" t="n">
        <v>8</v>
      </c>
      <c r="AU109" s="24" t="n"/>
      <c r="AV109" s="29" t="inlineStr">
        <is>
          <t>19/32" CDX</t>
        </is>
      </c>
      <c r="AW109" s="24" t="n"/>
      <c r="AX109" s="24">
        <f>AQ109*AR109*AT109</f>
        <v/>
      </c>
      <c r="AY109" s="62" t="n">
        <v>27.45</v>
      </c>
      <c r="AZ109" s="7">
        <f>AQ109*AY109</f>
        <v/>
      </c>
      <c r="BA109" s="7">
        <f>AZ109*1.06</f>
        <v/>
      </c>
      <c r="BB109" s="34" t="n"/>
      <c r="BC109" s="34" t="n"/>
      <c r="BD109" s="34" t="n"/>
      <c r="BE109" s="34" t="n"/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4" t="n"/>
      <c r="CJ109" s="34" t="n"/>
      <c r="CK109" s="34" t="n"/>
      <c r="CL109" s="34" t="n"/>
      <c r="CM109" s="34" t="n"/>
      <c r="CN109" s="34" t="n"/>
      <c r="CO109" s="34" t="n"/>
      <c r="CP109" s="34" t="n"/>
      <c r="CQ109" s="34" t="n"/>
      <c r="CR109" s="34" t="n"/>
      <c r="CS109" s="34" t="n"/>
      <c r="CT109" s="34" t="n"/>
      <c r="CU109" s="34" t="n"/>
      <c r="CV109" s="34" t="n"/>
      <c r="CW109" s="34" t="n"/>
      <c r="CX109" s="34" t="n"/>
      <c r="CY109" s="34" t="n"/>
      <c r="CZ109" s="34" t="n"/>
      <c r="DA109" s="34" t="n"/>
      <c r="DB109" s="34" t="n"/>
      <c r="DC109" s="34" t="n"/>
      <c r="DD109" s="34" t="n"/>
      <c r="DE109" s="34" t="n"/>
      <c r="DF109" s="34" t="n"/>
      <c r="DG109" s="34" t="n"/>
      <c r="DH109" s="34" t="n"/>
      <c r="DI109" s="34" t="n"/>
      <c r="DJ109" s="34" t="n"/>
      <c r="DK109" s="34" t="n"/>
      <c r="DL109" s="34" t="n"/>
      <c r="DM109" s="34" t="n"/>
      <c r="DN109" s="34" t="n"/>
      <c r="DO109" s="34" t="n"/>
      <c r="DP109" s="34" t="n"/>
      <c r="DQ109" s="34" t="n"/>
      <c r="DR109" s="34" t="n"/>
      <c r="DS109" s="34" t="n"/>
      <c r="DT109" s="34" t="n"/>
      <c r="DU109" s="34" t="n"/>
      <c r="DV109" s="24">
        <f>SUM(BC109:DU109)</f>
        <v/>
      </c>
      <c r="DW109" s="24" t="n"/>
      <c r="DX109" s="24">
        <f>DV109*AR109*AT109</f>
        <v/>
      </c>
      <c r="DY109" s="7">
        <f>DX109*AY109/1000</f>
        <v/>
      </c>
      <c r="DZ109" s="23">
        <f>DY109*1.06</f>
        <v/>
      </c>
      <c r="EA109" s="22">
        <f>IFERROR(DY109/AZ109,0)</f>
        <v/>
      </c>
      <c r="EB109" s="34" t="n"/>
      <c r="EC109" s="34" t="n"/>
      <c r="ED109" s="34" t="n"/>
      <c r="EE109" s="34" t="n"/>
      <c r="EF109" s="34" t="n"/>
      <c r="EG109" s="34" t="n"/>
      <c r="EH109" s="34" t="n"/>
      <c r="EI109" s="34" t="n"/>
      <c r="EJ109" s="34" t="n"/>
      <c r="EK109" s="34" t="n"/>
      <c r="EL109" s="34" t="n"/>
      <c r="EM109" s="34" t="n"/>
    </row>
    <row r="110" ht="11.65" customFormat="1" customHeight="1" s="12">
      <c r="A110" s="91" t="inlineStr">
        <is>
          <t>Panels</t>
        </is>
      </c>
      <c r="B110" s="354" t="n">
        <v>232</v>
      </c>
      <c r="C110" s="354" t="n"/>
      <c r="D110" s="354" t="n"/>
      <c r="E110" s="354" t="n"/>
      <c r="F110" s="354" t="n"/>
      <c r="G110" s="354" t="n">
        <v>-232</v>
      </c>
      <c r="H110" s="354" t="n"/>
      <c r="I110" s="354" t="n"/>
      <c r="J110" s="354" t="n"/>
      <c r="K110" s="354" t="n"/>
      <c r="L110" s="354" t="n"/>
      <c r="M110" s="354" t="n"/>
      <c r="N110" s="354" t="n"/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  <c r="Y110" s="354" t="n"/>
      <c r="Z110" s="354" t="n"/>
      <c r="AA110" s="354" t="n"/>
      <c r="AB110" s="354" t="n"/>
      <c r="AC110" s="354" t="n"/>
      <c r="AD110" s="354" t="n"/>
      <c r="AE110" s="354" t="n"/>
      <c r="AF110" s="354" t="n"/>
      <c r="AG110" s="354" t="n"/>
      <c r="AH110" s="354" t="n"/>
      <c r="AI110" s="354" t="n"/>
      <c r="AJ110" s="354" t="n"/>
      <c r="AK110" s="354" t="n"/>
      <c r="AL110" s="354" t="n"/>
      <c r="AM110" s="354" t="n"/>
      <c r="AN110" s="354" t="n"/>
      <c r="AO110" s="34" t="n"/>
      <c r="AP110" s="24">
        <f>SUM(D110:AO110)</f>
        <v/>
      </c>
      <c r="AQ110" s="24">
        <f>SUM(B110:AO110)</f>
        <v/>
      </c>
      <c r="AR110" s="354" t="n">
        <v>4</v>
      </c>
      <c r="AS110" s="356" t="inlineStr">
        <is>
          <t>x</t>
        </is>
      </c>
      <c r="AT110" s="34" t="n">
        <v>8</v>
      </c>
      <c r="AU110" s="34" t="n"/>
      <c r="AV110" s="356" t="inlineStr">
        <is>
          <t xml:space="preserve"> 7/16" OSB/PLY</t>
        </is>
      </c>
      <c r="AW110" s="34" t="n"/>
      <c r="AX110" s="34">
        <f>AQ110*AR110*AT110</f>
        <v/>
      </c>
      <c r="AY110" s="57" t="n">
        <v>465</v>
      </c>
      <c r="AZ110" s="14">
        <f>(AX110*AY110)/1000</f>
        <v/>
      </c>
      <c r="BA110" s="14">
        <f>AZ110*1.06</f>
        <v/>
      </c>
      <c r="BB110" s="34" t="n"/>
      <c r="BC110" s="34" t="n"/>
      <c r="BD110" s="34" t="n"/>
      <c r="BE110" s="34" t="n"/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4" t="n"/>
      <c r="CJ110" s="34" t="n"/>
      <c r="CK110" s="34" t="n"/>
      <c r="CL110" s="34" t="n"/>
      <c r="CM110" s="34" t="n"/>
      <c r="CN110" s="34" t="n"/>
      <c r="CO110" s="34" t="n"/>
      <c r="CP110" s="34" t="n"/>
      <c r="CQ110" s="34" t="n"/>
      <c r="CR110" s="34" t="n"/>
      <c r="CS110" s="34" t="n"/>
      <c r="CT110" s="34" t="n"/>
      <c r="CU110" s="34" t="n"/>
      <c r="CV110" s="34" t="n"/>
      <c r="CW110" s="34" t="n"/>
      <c r="CX110" s="34" t="n"/>
      <c r="CY110" s="34" t="n"/>
      <c r="CZ110" s="34" t="n"/>
      <c r="DA110" s="34" t="n"/>
      <c r="DB110" s="34" t="n"/>
      <c r="DC110" s="34" t="n"/>
      <c r="DD110" s="34" t="n"/>
      <c r="DE110" s="34" t="n"/>
      <c r="DF110" s="34" t="n"/>
      <c r="DG110" s="34" t="n"/>
      <c r="DH110" s="34" t="n"/>
      <c r="DI110" s="34" t="n"/>
      <c r="DJ110" s="34" t="n"/>
      <c r="DK110" s="34" t="n"/>
      <c r="DL110" s="34" t="n"/>
      <c r="DM110" s="34" t="n"/>
      <c r="DN110" s="34" t="n"/>
      <c r="DO110" s="34" t="n"/>
      <c r="DP110" s="34" t="n"/>
      <c r="DQ110" s="34" t="n"/>
      <c r="DR110" s="34" t="n"/>
      <c r="DS110" s="34" t="n"/>
      <c r="DT110" s="34" t="n"/>
      <c r="DU110" s="34" t="n"/>
      <c r="DV110" s="24">
        <f>SUM(BC110:DS110)</f>
        <v/>
      </c>
      <c r="DW110" s="24">
        <f>DV110*AU110</f>
        <v/>
      </c>
      <c r="DX110" s="24">
        <f>DV110*AR110*AT110</f>
        <v/>
      </c>
      <c r="DY110" s="7">
        <f>DX110*AY110/1000</f>
        <v/>
      </c>
      <c r="DZ110" s="23">
        <f>DY110*1.07</f>
        <v/>
      </c>
      <c r="EA110" s="22">
        <f>IFERROR(DY110/AZ110,0)</f>
        <v/>
      </c>
      <c r="EB110" s="34" t="n"/>
      <c r="EC110" s="34" t="n"/>
      <c r="ED110" s="34" t="n"/>
      <c r="EE110" s="34">
        <f>IF(EB110&lt;&gt;"",EB110*ED110,0)</f>
        <v/>
      </c>
      <c r="EF110" s="34">
        <f>DV110-EE110</f>
        <v/>
      </c>
      <c r="EG110" s="34">
        <f>EF110*AU110</f>
        <v/>
      </c>
      <c r="EH110" s="34">
        <f>EF110*AR110*AT110</f>
        <v/>
      </c>
      <c r="EI110" s="34">
        <f>IFERROR(EH110/DV110,0)</f>
        <v/>
      </c>
      <c r="EJ110" s="34">
        <f>IFERROR(EH110*AY110/1000,0)</f>
        <v/>
      </c>
      <c r="EK110" s="34">
        <f>EJ110*1.07</f>
        <v/>
      </c>
      <c r="EL110" s="34" t="n"/>
      <c r="EM110" s="34" t="n"/>
    </row>
    <row r="111" ht="192.75" customFormat="1" customHeight="1" s="12">
      <c r="A111" s="91" t="n"/>
      <c r="B111" s="354" t="n"/>
      <c r="C111" s="354" t="n">
        <v>-344</v>
      </c>
      <c r="D111" s="354" t="n"/>
      <c r="E111" s="354" t="n"/>
      <c r="F111" s="354" t="n"/>
      <c r="G111" s="354" t="n">
        <v>18073</v>
      </c>
      <c r="H111" s="354" t="n"/>
      <c r="I111" s="354" t="n"/>
      <c r="J111" s="354" t="n"/>
      <c r="K111" s="354" t="n">
        <v>-5393</v>
      </c>
      <c r="L111" s="354" t="n"/>
      <c r="M111" s="354" t="n"/>
      <c r="N111" s="354" t="n"/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  <c r="Y111" s="354" t="n"/>
      <c r="Z111" s="354" t="n"/>
      <c r="AA111" s="354" t="n"/>
      <c r="AB111" s="354" t="n"/>
      <c r="AC111" s="354" t="n"/>
      <c r="AD111" s="354" t="n"/>
      <c r="AE111" s="354" t="n"/>
      <c r="AF111" s="354" t="n"/>
      <c r="AG111" s="354" t="n">
        <v>1270</v>
      </c>
      <c r="AH111" s="354" t="n"/>
      <c r="AI111" s="354" t="n"/>
      <c r="AJ111" s="354" t="n"/>
      <c r="AK111" s="354" t="n"/>
      <c r="AL111" s="354" t="n"/>
      <c r="AM111" s="354" t="n">
        <v>324</v>
      </c>
      <c r="AN111" s="354" t="n"/>
      <c r="AO111" s="34" t="n"/>
      <c r="AP111" s="24">
        <f>SUM(D111:AO111)</f>
        <v/>
      </c>
      <c r="AQ111" s="24">
        <f>SUM(B111:AO111)</f>
        <v/>
      </c>
      <c r="AR111" s="354" t="n">
        <v>4</v>
      </c>
      <c r="AS111" s="356" t="inlineStr">
        <is>
          <t>x</t>
        </is>
      </c>
      <c r="AT111" s="34" t="n">
        <v>9</v>
      </c>
      <c r="AU111" s="34" t="n"/>
      <c r="AV111" s="356" t="inlineStr">
        <is>
          <t xml:space="preserve"> 7/16" OSB/PLY</t>
        </is>
      </c>
      <c r="AW111" s="34" t="n"/>
      <c r="AX111" s="34">
        <f>AQ111*AR111*AT111</f>
        <v/>
      </c>
      <c r="AY111" s="57" t="n">
        <v>415</v>
      </c>
      <c r="AZ111" s="14">
        <f>(AX111*AY111)/1000</f>
        <v/>
      </c>
      <c r="BA111" s="14">
        <f>AZ111*1.06</f>
        <v/>
      </c>
      <c r="BB111" s="53" t="inlineStr">
        <is>
          <t>68981025 68981148 68981149 68981156
68981026
68981027
68981044
68981064
68981068
68981075
68981096
68981097
68981098
68981110
68981174
68981173</t>
        </is>
      </c>
      <c r="BC111" s="56" t="n"/>
      <c r="BD111" s="56" t="n"/>
      <c r="BE111" s="56" t="n"/>
      <c r="BF111" s="34" t="n"/>
      <c r="BG111" s="34" t="n"/>
      <c r="BH111" s="34" t="n"/>
      <c r="BI111" s="34" t="n"/>
      <c r="BJ111" s="34">
        <f>(900-344)+900+900</f>
        <v/>
      </c>
      <c r="BK111" s="34" t="n"/>
      <c r="BL111" s="34" t="n"/>
      <c r="BM111" s="34" t="n"/>
      <c r="BN111" s="34" t="n"/>
      <c r="BO111" s="34">
        <f>900</f>
        <v/>
      </c>
      <c r="BP111" s="34" t="n"/>
      <c r="BQ111" s="34" t="n"/>
      <c r="BR111" s="34" t="n"/>
      <c r="BS111" s="34" t="n"/>
      <c r="BT111" s="34" t="n"/>
      <c r="BU111" s="34" t="n"/>
      <c r="BV111" s="34" t="n"/>
      <c r="BW111" s="34">
        <f>900+525</f>
        <v/>
      </c>
      <c r="BX111" s="34">
        <f>900+900</f>
        <v/>
      </c>
      <c r="BY111" s="34" t="n"/>
      <c r="BZ111" s="34">
        <f>900</f>
        <v/>
      </c>
      <c r="CA111" s="34" t="n">
        <v>900</v>
      </c>
      <c r="CB111" s="34" t="n"/>
      <c r="CC111" s="34" t="n">
        <v>900</v>
      </c>
      <c r="CD111" s="34" t="n"/>
      <c r="CE111" s="34" t="n"/>
      <c r="CF111" s="34" t="n"/>
      <c r="CG111" s="34" t="n"/>
      <c r="CH111" s="34" t="n"/>
      <c r="CI111" s="34" t="n"/>
      <c r="CJ111" s="34" t="n"/>
      <c r="CK111" s="34" t="n"/>
      <c r="CL111" s="34" t="n"/>
      <c r="CM111" s="34" t="n"/>
      <c r="CN111" s="34" t="n"/>
      <c r="CO111" s="34" t="n"/>
      <c r="CP111" s="34" t="n"/>
      <c r="CQ111" s="34" t="n"/>
      <c r="CR111" s="34" t="n"/>
      <c r="CS111" s="34" t="n"/>
      <c r="CT111" s="34" t="n"/>
      <c r="CU111" s="34" t="n"/>
      <c r="CV111" s="34" t="n"/>
      <c r="CW111" s="34">
        <f>900</f>
        <v/>
      </c>
      <c r="CX111" s="34">
        <f>900</f>
        <v/>
      </c>
      <c r="CY111" s="34" t="n"/>
      <c r="CZ111" s="34" t="n"/>
      <c r="DA111" s="34" t="n"/>
      <c r="DB111" s="34">
        <f>825</f>
        <v/>
      </c>
      <c r="DC111" s="34" t="n"/>
      <c r="DD111" s="34" t="n"/>
      <c r="DE111" s="34" t="n"/>
      <c r="DF111" s="34" t="n"/>
      <c r="DG111" s="34" t="n"/>
      <c r="DH111" s="34" t="n"/>
      <c r="DI111" s="34" t="n"/>
      <c r="DJ111" s="34" t="n"/>
      <c r="DK111" s="34" t="n"/>
      <c r="DL111" s="34" t="n"/>
      <c r="DM111" s="34" t="n"/>
      <c r="DN111" s="34" t="n"/>
      <c r="DO111" s="34" t="n">
        <v>900</v>
      </c>
      <c r="DP111" s="34" t="n"/>
      <c r="DQ111" s="34" t="n"/>
      <c r="DR111" s="34" t="n">
        <v>828</v>
      </c>
      <c r="DS111" s="34" t="n"/>
      <c r="DT111" s="34" t="n"/>
      <c r="DU111" s="34" t="n"/>
      <c r="DV111" s="24">
        <f>SUM(BC111:DU111)</f>
        <v/>
      </c>
      <c r="DW111" s="24" t="n"/>
      <c r="DX111" s="24">
        <f>DV111*AR111*AT111</f>
        <v/>
      </c>
      <c r="DY111" s="7">
        <f>DX111*AY111/1000</f>
        <v/>
      </c>
      <c r="DZ111" s="23">
        <f>DY111*1.06</f>
        <v/>
      </c>
      <c r="EA111" s="22">
        <f>IFERROR(DY111/AZ111,0)</f>
        <v/>
      </c>
      <c r="EB111" s="34" t="n"/>
      <c r="EC111" s="34" t="n"/>
      <c r="ED111" s="34" t="n"/>
      <c r="EE111" s="34" t="n"/>
      <c r="EF111" s="34" t="n"/>
      <c r="EG111" s="34" t="n"/>
      <c r="EH111" s="34" t="n"/>
      <c r="EI111" s="34" t="n"/>
      <c r="EJ111" s="34" t="n"/>
      <c r="EK111" s="34" t="n"/>
      <c r="EL111" s="34" t="n"/>
      <c r="EM111" s="34" t="n"/>
    </row>
    <row r="112" ht="11.65" customFormat="1" customHeight="1" s="12">
      <c r="A112" s="78" t="inlineStr">
        <is>
          <t>Panels</t>
        </is>
      </c>
      <c r="B112" s="30" t="n">
        <v>12883</v>
      </c>
      <c r="C112" s="30" t="n">
        <v>-38</v>
      </c>
      <c r="D112" s="30" t="n"/>
      <c r="E112" s="30" t="n"/>
      <c r="F112" s="30" t="n">
        <v>-936</v>
      </c>
      <c r="G112" s="30" t="n">
        <v>-20099</v>
      </c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30" t="n"/>
      <c r="AJ112" s="30" t="n"/>
      <c r="AK112" s="30" t="n"/>
      <c r="AL112" s="30" t="n"/>
      <c r="AM112" s="30" t="n"/>
      <c r="AN112" s="30" t="n"/>
      <c r="AO112" s="24" t="n"/>
      <c r="AP112" s="24">
        <f>SUM(D112:AO112)</f>
        <v/>
      </c>
      <c r="AQ112" s="24">
        <f>SUM(B112:AO112)</f>
        <v/>
      </c>
      <c r="AR112" s="30" t="n">
        <v>4</v>
      </c>
      <c r="AS112" s="29" t="inlineStr">
        <is>
          <t>x</t>
        </is>
      </c>
      <c r="AT112" s="24" t="n">
        <v>8</v>
      </c>
      <c r="AU112" s="24" t="n"/>
      <c r="AV112" s="29" t="inlineStr">
        <is>
          <t>15/32" OSB/PLY</t>
        </is>
      </c>
      <c r="AW112" s="24" t="n"/>
      <c r="AX112" s="24">
        <f>AQ112*AR112*AT112</f>
        <v/>
      </c>
      <c r="AY112" s="62" t="n">
        <v>475</v>
      </c>
      <c r="AZ112" s="7">
        <f>(AX112*AY112)/1000</f>
        <v/>
      </c>
      <c r="BA112" s="7">
        <f>AZ112*1.06</f>
        <v/>
      </c>
      <c r="BB112" s="53" t="n"/>
      <c r="BC112" s="53" t="n"/>
      <c r="BD112" s="53" t="n"/>
      <c r="BE112" s="53" t="n"/>
      <c r="BF112" s="24" t="n"/>
      <c r="BG112" s="24" t="n"/>
      <c r="BH112" s="24" t="n"/>
      <c r="BI112" s="24" t="n"/>
      <c r="BJ112" s="24" t="n"/>
      <c r="BK112" s="24" t="n"/>
      <c r="BL112" s="24" t="n"/>
      <c r="BM112" s="24" t="n"/>
      <c r="BN112" s="24" t="n"/>
      <c r="BO112" s="24" t="n"/>
      <c r="BP112" s="24" t="n"/>
      <c r="BQ112" s="24" t="n"/>
      <c r="BR112" s="24" t="n"/>
      <c r="BS112" s="24" t="n"/>
      <c r="BT112" s="24" t="n"/>
      <c r="BU112" s="24" t="n"/>
      <c r="BV112" s="24" t="n"/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n"/>
      <c r="DK112" s="24" t="n"/>
      <c r="DL112" s="24" t="n"/>
      <c r="DM112" s="24" t="n"/>
      <c r="DN112" s="24" t="n"/>
      <c r="DO112" s="24" t="n"/>
      <c r="DP112" s="24" t="n"/>
      <c r="DQ112" s="24" t="n"/>
      <c r="DR112" s="24" t="n"/>
      <c r="DS112" s="24" t="n"/>
      <c r="DT112" s="24" t="n"/>
      <c r="DU112" s="24" t="n"/>
      <c r="DV112" s="24">
        <f>SUM(BC112:DS112)</f>
        <v/>
      </c>
      <c r="DW112" s="24">
        <f>DV112*AU112</f>
        <v/>
      </c>
      <c r="DX112" s="24">
        <f>DV112*AR112*AT112</f>
        <v/>
      </c>
      <c r="DY112" s="7">
        <f>DX112*AY112/1000</f>
        <v/>
      </c>
      <c r="DZ112" s="23">
        <f>DY112*1.07</f>
        <v/>
      </c>
      <c r="EA112" s="22">
        <f>IFERROR(DY112/AZ112,0)</f>
        <v/>
      </c>
      <c r="EB112" s="24" t="n"/>
      <c r="EC112" s="24" t="n"/>
      <c r="ED112" s="24" t="n"/>
      <c r="EE112" s="24">
        <f>IF(EB112&lt;&gt;"",EB112*ED112,0)</f>
        <v/>
      </c>
      <c r="EF112" s="24">
        <f>DV112-EE112</f>
        <v/>
      </c>
      <c r="EG112" s="24">
        <f>EF112*AU112</f>
        <v/>
      </c>
      <c r="EH112" s="24">
        <f>EF112*AR112*AT112</f>
        <v/>
      </c>
      <c r="EI112" s="24">
        <f>IFERROR(EH112/DV112,0)</f>
        <v/>
      </c>
      <c r="EJ112" s="24">
        <f>IFERROR(EH112*AY112/1000,0)</f>
        <v/>
      </c>
      <c r="EK112" s="24">
        <f>EJ112*1.07</f>
        <v/>
      </c>
      <c r="EL112" s="24" t="n"/>
      <c r="EM112" s="24" t="n"/>
    </row>
    <row r="113" ht="11.65" customFormat="1" customHeight="1" s="12">
      <c r="A113" s="78" t="n"/>
      <c r="B113" s="30" t="n"/>
      <c r="C113" s="30" t="n"/>
      <c r="D113" s="30" t="n"/>
      <c r="E113" s="30" t="n"/>
      <c r="F113" s="30" t="n">
        <v>936</v>
      </c>
      <c r="G113" s="30" t="n"/>
      <c r="H113" s="30" t="n"/>
      <c r="I113" s="30" t="n"/>
      <c r="J113" s="30" t="n"/>
      <c r="K113" s="30" t="n">
        <v>-936</v>
      </c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24" t="n"/>
      <c r="AP113" s="24">
        <f>SUM(D113:AO113)</f>
        <v/>
      </c>
      <c r="AQ113" s="24">
        <f>SUM(B113:AO113)</f>
        <v/>
      </c>
      <c r="AR113" s="30" t="n">
        <v>4</v>
      </c>
      <c r="AS113" s="29" t="inlineStr">
        <is>
          <t>x</t>
        </is>
      </c>
      <c r="AT113" s="24" t="n">
        <v>8</v>
      </c>
      <c r="AU113" s="24" t="n"/>
      <c r="AV113" s="29" t="inlineStr">
        <is>
          <t>15/32" 4X8 PLYWOOD PT</t>
        </is>
      </c>
      <c r="AW113" s="24" t="n"/>
      <c r="AX113" s="24">
        <f>AQ113*AR113*AT113</f>
        <v/>
      </c>
      <c r="AY113" s="62" t="n">
        <v>970</v>
      </c>
      <c r="AZ113" s="7">
        <f>(AX113*AY113)/1000</f>
        <v/>
      </c>
      <c r="BA113" s="7">
        <f>AZ113*1.06</f>
        <v/>
      </c>
      <c r="BB113" s="53" t="n"/>
      <c r="BC113" s="53" t="n"/>
      <c r="BD113" s="53" t="n"/>
      <c r="BE113" s="53" t="n"/>
      <c r="BF113" s="24" t="n"/>
      <c r="BG113" s="24" t="n"/>
      <c r="BH113" s="24" t="n"/>
      <c r="BI113" s="24" t="n"/>
      <c r="BJ113" s="24" t="n"/>
      <c r="BK113" s="24" t="n"/>
      <c r="BL113" s="24" t="n"/>
      <c r="BM113" s="24" t="n"/>
      <c r="BN113" s="24" t="n"/>
      <c r="BO113" s="24" t="n"/>
      <c r="BP113" s="24" t="n"/>
      <c r="BQ113" s="24" t="n"/>
      <c r="BR113" s="24" t="n"/>
      <c r="BS113" s="24" t="n"/>
      <c r="BT113" s="24" t="n"/>
      <c r="BU113" s="24" t="n"/>
      <c r="BV113" s="24" t="n"/>
      <c r="BW113" s="24" t="n"/>
      <c r="BX113" s="24" t="n"/>
      <c r="BY113" s="24" t="n"/>
      <c r="BZ113" s="24" t="n"/>
      <c r="CA113" s="24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n"/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  <c r="DQ113" s="24" t="n"/>
      <c r="DR113" s="24" t="n"/>
      <c r="DS113" s="24" t="n"/>
      <c r="DT113" s="24" t="n"/>
      <c r="DU113" s="24" t="n"/>
      <c r="DV113" s="24">
        <f>SUM(BC113:DU113)</f>
        <v/>
      </c>
      <c r="DW113" s="24" t="n"/>
      <c r="DX113" s="24">
        <f>DV113*AR113*AT113</f>
        <v/>
      </c>
      <c r="DY113" s="7">
        <f>DX113*AY113/1000</f>
        <v/>
      </c>
      <c r="DZ113" s="23">
        <f>DY113*1.06</f>
        <v/>
      </c>
      <c r="EA113" s="22">
        <f>IFERROR(DY113/AZ113,0)</f>
        <v/>
      </c>
      <c r="EB113" s="24" t="n"/>
      <c r="EC113" s="24" t="n"/>
      <c r="ED113" s="24" t="n"/>
      <c r="EE113" s="24" t="n"/>
      <c r="EF113" s="24" t="n"/>
      <c r="EG113" s="24" t="n"/>
      <c r="EH113" s="24" t="n"/>
      <c r="EI113" s="24" t="n"/>
      <c r="EJ113" s="24" t="n"/>
      <c r="EK113" s="24" t="n"/>
      <c r="EL113" s="24" t="n"/>
      <c r="EM113" s="24" t="n"/>
    </row>
    <row r="114" ht="46.5" customFormat="1" customHeight="1" s="12">
      <c r="A114" s="78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>
        <v>1223</v>
      </c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30" t="n"/>
      <c r="AG114" s="30" t="n"/>
      <c r="AH114" s="30" t="n"/>
      <c r="AI114" s="30" t="n"/>
      <c r="AJ114" s="30" t="n"/>
      <c r="AK114" s="30" t="n"/>
      <c r="AL114" s="30" t="n"/>
      <c r="AM114" s="30" t="n"/>
      <c r="AN114" s="30" t="n"/>
      <c r="AO114" s="24" t="n"/>
      <c r="AP114" s="24">
        <f>SUM(D114:AO114)</f>
        <v/>
      </c>
      <c r="AQ114" s="24">
        <f>SUM(B114:AO114)</f>
        <v/>
      </c>
      <c r="AR114" s="30" t="n">
        <v>4</v>
      </c>
      <c r="AS114" s="29" t="inlineStr">
        <is>
          <t>x</t>
        </is>
      </c>
      <c r="AT114" s="24" t="n">
        <v>8</v>
      </c>
      <c r="AU114" s="24" t="n"/>
      <c r="AV114" s="29" t="inlineStr">
        <is>
          <t>15/32" 4X8 PLYWOOD PT</t>
        </is>
      </c>
      <c r="AW114" s="24" t="n"/>
      <c r="AX114" s="24">
        <f>AQ114*AR114*AT114</f>
        <v/>
      </c>
      <c r="AY114" s="62" t="n">
        <v>885</v>
      </c>
      <c r="AZ114" s="7">
        <f>(AX114*AY114)/1000</f>
        <v/>
      </c>
      <c r="BA114" s="7">
        <f>AZ114*1.06</f>
        <v/>
      </c>
      <c r="BB114" s="53" t="inlineStr">
        <is>
          <t>68981050 68981139 68981158
68981103</t>
        </is>
      </c>
      <c r="BC114" s="53" t="n"/>
      <c r="BD114" s="53" t="n"/>
      <c r="BE114" s="53" t="n"/>
      <c r="BF114" s="24" t="n"/>
      <c r="BG114" s="24" t="n"/>
      <c r="BH114" s="24" t="n"/>
      <c r="BI114" s="24" t="n"/>
      <c r="BJ114" s="24" t="n"/>
      <c r="BK114" s="24" t="n"/>
      <c r="BL114" s="24" t="n"/>
      <c r="BM114" s="24" t="n">
        <v>560</v>
      </c>
      <c r="BN114" s="24" t="n"/>
      <c r="BO114" s="24" t="n"/>
      <c r="BP114" s="24" t="n"/>
      <c r="BQ114" s="24" t="n"/>
      <c r="BR114" s="24" t="n"/>
      <c r="BS114" s="24" t="n"/>
      <c r="BT114" s="24" t="n"/>
      <c r="BU114" s="24" t="n"/>
      <c r="BV114" s="24" t="n"/>
      <c r="BW114" s="24" t="n"/>
      <c r="BX114" s="24" t="n"/>
      <c r="BY114" s="24" t="n"/>
      <c r="BZ114" s="24" t="n"/>
      <c r="CA114" s="24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>
        <f>282</f>
        <v/>
      </c>
      <c r="CO114" s="24" t="n"/>
      <c r="CP114" s="24" t="n"/>
      <c r="CQ114" s="24" t="n"/>
      <c r="CR114" s="24" t="n"/>
      <c r="CS114" s="24" t="n"/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>
        <f>140</f>
        <v/>
      </c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  <c r="DQ114" s="24" t="n"/>
      <c r="DR114" s="24" t="n"/>
      <c r="DS114" s="24" t="n"/>
      <c r="DT114" s="24" t="n"/>
      <c r="DU114" s="24" t="n"/>
      <c r="DV114" s="24">
        <f>SUM(BC114:DU114)</f>
        <v/>
      </c>
      <c r="DW114" s="24" t="n"/>
      <c r="DX114" s="24">
        <f>DV114*AR114*AT114</f>
        <v/>
      </c>
      <c r="DY114" s="7">
        <f>DX114*AY114/1000</f>
        <v/>
      </c>
      <c r="DZ114" s="23">
        <f>DY114*1.06</f>
        <v/>
      </c>
      <c r="EA114" s="22">
        <f>IFERROR(DY114/AZ114,0)</f>
        <v/>
      </c>
      <c r="EB114" s="24" t="n"/>
      <c r="EC114" s="24" t="n"/>
      <c r="ED114" s="24" t="n"/>
      <c r="EE114" s="24" t="n"/>
      <c r="EF114" s="24" t="n"/>
      <c r="EG114" s="24" t="n"/>
      <c r="EH114" s="24" t="n"/>
      <c r="EI114" s="24" t="n"/>
      <c r="EJ114" s="24" t="n"/>
      <c r="EK114" s="24" t="n"/>
      <c r="EL114" s="24" t="n"/>
      <c r="EM114" s="24" t="n"/>
    </row>
    <row r="115" ht="11.65" customFormat="1" customHeight="1" s="12">
      <c r="A115" s="78" t="inlineStr">
        <is>
          <t>Panels</t>
        </is>
      </c>
      <c r="B115" s="30" t="n">
        <v>80</v>
      </c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>
        <v>102</v>
      </c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0" t="n"/>
      <c r="AK115" s="30" t="n"/>
      <c r="AL115" s="30" t="n"/>
      <c r="AM115" s="30" t="n"/>
      <c r="AN115" s="30" t="n"/>
      <c r="AO115" s="24" t="n"/>
      <c r="AP115" s="24">
        <f>SUM(D115:AO115)</f>
        <v/>
      </c>
      <c r="AQ115" s="24">
        <f>SUM(B115:AO115)</f>
        <v/>
      </c>
      <c r="AR115" s="30" t="n">
        <v>4</v>
      </c>
      <c r="AS115" s="29" t="inlineStr">
        <is>
          <t>x</t>
        </is>
      </c>
      <c r="AT115" s="24" t="n">
        <v>8</v>
      </c>
      <c r="AU115" s="24" t="n"/>
      <c r="AV115" s="29" t="inlineStr">
        <is>
          <t xml:space="preserve"> 5/8" GYPSUM</t>
        </is>
      </c>
      <c r="AW115" s="24" t="n"/>
      <c r="AX115" s="24">
        <f>AQ115*AR115*AT115</f>
        <v/>
      </c>
      <c r="AY115" s="62" t="n">
        <v>535</v>
      </c>
      <c r="AZ115" s="7">
        <f>(AX115*AY115)/1000</f>
        <v/>
      </c>
      <c r="BA115" s="7">
        <f>AZ115*1.06</f>
        <v/>
      </c>
      <c r="BB115" s="24" t="n"/>
      <c r="BC115" s="24" t="n"/>
      <c r="BD115" s="24" t="n"/>
      <c r="BE115" s="24" t="n"/>
      <c r="BF115" s="24" t="n"/>
      <c r="BG115" s="24" t="n"/>
      <c r="BH115" s="24" t="n"/>
      <c r="BI115" s="24" t="n"/>
      <c r="BJ115" s="24" t="n"/>
      <c r="BK115" s="24" t="n"/>
      <c r="BL115" s="24" t="n"/>
      <c r="BM115" s="24" t="n"/>
      <c r="BN115" s="24" t="n"/>
      <c r="BO115" s="24" t="n"/>
      <c r="BP115" s="24" t="n"/>
      <c r="BQ115" s="24" t="n"/>
      <c r="BR115" s="24" t="n"/>
      <c r="BS115" s="24" t="n"/>
      <c r="BT115" s="24" t="n"/>
      <c r="BU115" s="24" t="n"/>
      <c r="BV115" s="24" t="n"/>
      <c r="BW115" s="24" t="n"/>
      <c r="BX115" s="24" t="n"/>
      <c r="BY115" s="24" t="n"/>
      <c r="BZ115" s="24" t="n"/>
      <c r="CA115" s="24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n"/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  <c r="DQ115" s="24" t="n"/>
      <c r="DR115" s="24" t="n"/>
      <c r="DS115" s="24" t="n"/>
      <c r="DT115" s="24" t="n"/>
      <c r="DU115" s="24" t="n"/>
      <c r="DV115" s="24">
        <f>SUM(BC115:DS115)</f>
        <v/>
      </c>
      <c r="DW115" s="24">
        <f>DV115*AU115</f>
        <v/>
      </c>
      <c r="DX115" s="24">
        <f>DV115*AR115*AT115</f>
        <v/>
      </c>
      <c r="DY115" s="7">
        <f>DX115*AY115/1000</f>
        <v/>
      </c>
      <c r="DZ115" s="23">
        <f>DY115*1.07</f>
        <v/>
      </c>
      <c r="EA115" s="22">
        <f>IFERROR(DY115/AZ115,0)</f>
        <v/>
      </c>
      <c r="EB115" s="24" t="n"/>
      <c r="EC115" s="24" t="n"/>
      <c r="ED115" s="24" t="n"/>
      <c r="EE115" s="24">
        <f>IF(EB115&lt;&gt;"",EB115*ED115,0)</f>
        <v/>
      </c>
      <c r="EF115" s="24">
        <f>DV115-EE115</f>
        <v/>
      </c>
      <c r="EG115" s="24">
        <f>EF115*AU115</f>
        <v/>
      </c>
      <c r="EH115" s="24">
        <f>EF115*AR115*AT115</f>
        <v/>
      </c>
      <c r="EI115" s="24">
        <f>IFERROR(EH115/DV115,0)</f>
        <v/>
      </c>
      <c r="EJ115" s="24">
        <f>IFERROR(EH115*AY115/1000,0)</f>
        <v/>
      </c>
      <c r="EK115" s="24">
        <f>EJ115*1.07</f>
        <v/>
      </c>
      <c r="EL115" s="24" t="n"/>
      <c r="EM115" s="24" t="n"/>
    </row>
    <row r="116" ht="11.65" customFormat="1" customHeight="1" s="12">
      <c r="A116" s="78" t="n"/>
      <c r="B116" s="30" t="n">
        <v>8152</v>
      </c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30" t="n"/>
      <c r="AJ116" s="30" t="n"/>
      <c r="AK116" s="30" t="n"/>
      <c r="AL116" s="30" t="n"/>
      <c r="AM116" s="30" t="n"/>
      <c r="AN116" s="30" t="n"/>
      <c r="AO116" s="24" t="n"/>
      <c r="AP116" s="24">
        <f>SUM(D116:AO116)</f>
        <v/>
      </c>
      <c r="AQ116" s="24">
        <f>SUM(B116:AO116)</f>
        <v/>
      </c>
      <c r="AR116" s="30" t="n">
        <v>4</v>
      </c>
      <c r="AS116" s="29" t="inlineStr">
        <is>
          <t>x</t>
        </is>
      </c>
      <c r="AT116" s="24" t="n">
        <v>8</v>
      </c>
      <c r="AU116" s="24" t="n"/>
      <c r="AV116" s="29" t="inlineStr">
        <is>
          <t>15/32" OSB/PLY</t>
        </is>
      </c>
      <c r="AW116" s="24" t="n"/>
      <c r="AX116" s="24">
        <f>AQ116*AR116*AT116</f>
        <v/>
      </c>
      <c r="AY116" s="62" t="n">
        <v>475</v>
      </c>
      <c r="AZ116" s="7">
        <f>(AX116*AY116)/1000</f>
        <v/>
      </c>
      <c r="BA116" s="7">
        <f>AZ116*1.06</f>
        <v/>
      </c>
      <c r="BB116" s="24" t="n"/>
      <c r="BC116" s="24" t="n"/>
      <c r="BD116" s="24" t="n"/>
      <c r="BE116" s="24" t="n"/>
      <c r="BF116" s="24" t="n"/>
      <c r="BG116" s="24" t="n"/>
      <c r="BH116" s="24" t="n"/>
      <c r="BI116" s="24" t="n"/>
      <c r="BJ116" s="24" t="n"/>
      <c r="BK116" s="24" t="n"/>
      <c r="BL116" s="24" t="n"/>
      <c r="BM116" s="24" t="n"/>
      <c r="BN116" s="24" t="n"/>
      <c r="BO116" s="24" t="n"/>
      <c r="BP116" s="24" t="n"/>
      <c r="BQ116" s="24" t="n"/>
      <c r="BR116" s="24" t="n"/>
      <c r="BS116" s="24" t="n"/>
      <c r="BT116" s="24" t="n"/>
      <c r="BU116" s="24" t="n"/>
      <c r="BV116" s="24" t="n"/>
      <c r="BW116" s="24" t="n"/>
      <c r="BX116" s="24" t="n"/>
      <c r="BY116" s="24" t="n"/>
      <c r="BZ116" s="24" t="n"/>
      <c r="CA116" s="24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n"/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n"/>
      <c r="DK116" s="24" t="n"/>
      <c r="DL116" s="24" t="n"/>
      <c r="DM116" s="24" t="n"/>
      <c r="DN116" s="24" t="n"/>
      <c r="DO116" s="24" t="n"/>
      <c r="DP116" s="24" t="n"/>
      <c r="DQ116" s="24" t="n"/>
      <c r="DR116" s="24" t="n"/>
      <c r="DS116" s="24" t="n"/>
      <c r="DT116" s="24" t="n"/>
      <c r="DU116" s="24" t="n"/>
      <c r="DV116" s="24">
        <f>SUM(BC116:DU116)</f>
        <v/>
      </c>
      <c r="DW116" s="24" t="n"/>
      <c r="DX116" s="24">
        <f>DV116*AR116*AT116</f>
        <v/>
      </c>
      <c r="DY116" s="7">
        <f>DX116*AY116/1000</f>
        <v/>
      </c>
      <c r="DZ116" s="23">
        <f>DY116*1.06</f>
        <v/>
      </c>
      <c r="EA116" s="22">
        <f>IFERROR(DY116/AZ116,0)</f>
        <v/>
      </c>
      <c r="EB116" s="24" t="n"/>
      <c r="EC116" s="24" t="n"/>
      <c r="ED116" s="24" t="n"/>
      <c r="EE116" s="24" t="n"/>
      <c r="EF116" s="24" t="n"/>
      <c r="EG116" s="24" t="n"/>
      <c r="EH116" s="24" t="n"/>
      <c r="EI116" s="24" t="n"/>
      <c r="EJ116" s="24" t="n"/>
      <c r="EK116" s="24" t="n"/>
      <c r="EL116" s="24" t="n"/>
      <c r="EM116" s="24" t="n"/>
    </row>
    <row r="117" ht="11.65" customFormat="1" customHeight="1" s="12">
      <c r="A117" s="78" t="n"/>
      <c r="B117" s="30" t="n"/>
      <c r="C117" s="30" t="n"/>
      <c r="D117" s="30" t="n">
        <v>85</v>
      </c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0" t="n"/>
      <c r="AJ117" s="30" t="n"/>
      <c r="AK117" s="30" t="n"/>
      <c r="AL117" s="30" t="n"/>
      <c r="AM117" s="30" t="n"/>
      <c r="AN117" s="30" t="n"/>
      <c r="AO117" s="24" t="n"/>
      <c r="AP117" s="24">
        <f>SUM(D117:AO117)</f>
        <v/>
      </c>
      <c r="AQ117" s="24">
        <f>SUM(B117:AO117)</f>
        <v/>
      </c>
      <c r="AR117" s="30" t="n">
        <v>4</v>
      </c>
      <c r="AS117" s="29" t="inlineStr">
        <is>
          <t>x</t>
        </is>
      </c>
      <c r="AT117" s="24" t="n">
        <v>8</v>
      </c>
      <c r="AU117" s="24" t="n"/>
      <c r="AV117" s="29" t="inlineStr">
        <is>
          <t>15/32" OSB</t>
        </is>
      </c>
      <c r="AW117" s="24" t="n"/>
      <c r="AX117" s="24">
        <f>AQ117*AR117*AT117</f>
        <v/>
      </c>
      <c r="AY117" s="62" t="n">
        <v>13.65</v>
      </c>
      <c r="AZ117" s="7">
        <f>AQ117*AY117</f>
        <v/>
      </c>
      <c r="BA117" s="7">
        <f>AZ117*1.06</f>
        <v/>
      </c>
      <c r="BB117" s="24" t="n">
        <v>68981005</v>
      </c>
      <c r="BC117" s="24" t="n">
        <v>85</v>
      </c>
      <c r="BD117" s="24" t="n"/>
      <c r="BE117" s="24" t="n"/>
      <c r="BF117" s="24" t="n"/>
      <c r="BG117" s="24" t="n"/>
      <c r="BH117" s="24" t="n"/>
      <c r="BI117" s="24" t="n"/>
      <c r="BJ117" s="24" t="n"/>
      <c r="BK117" s="24" t="n"/>
      <c r="BL117" s="24" t="n"/>
      <c r="BM117" s="24" t="n"/>
      <c r="BN117" s="24" t="n"/>
      <c r="BO117" s="24" t="n"/>
      <c r="BP117" s="24" t="n"/>
      <c r="BQ117" s="24" t="n"/>
      <c r="BR117" s="24" t="n"/>
      <c r="BS117" s="24" t="n"/>
      <c r="BT117" s="24" t="n"/>
      <c r="BU117" s="24" t="n"/>
      <c r="BV117" s="24" t="n"/>
      <c r="BW117" s="24" t="n"/>
      <c r="BX117" s="24" t="n"/>
      <c r="BY117" s="24" t="n"/>
      <c r="BZ117" s="24" t="n"/>
      <c r="CA117" s="24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n"/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n"/>
      <c r="DK117" s="24" t="n"/>
      <c r="DL117" s="24" t="n"/>
      <c r="DM117" s="24" t="n"/>
      <c r="DN117" s="24" t="n"/>
      <c r="DO117" s="24" t="n"/>
      <c r="DP117" s="24" t="n"/>
      <c r="DQ117" s="24" t="n"/>
      <c r="DR117" s="24" t="n"/>
      <c r="DS117" s="24" t="n"/>
      <c r="DT117" s="24" t="n"/>
      <c r="DU117" s="24" t="n"/>
      <c r="DV117" s="24">
        <f>SUM(BC117:DU117)</f>
        <v/>
      </c>
      <c r="DW117" s="24" t="n"/>
      <c r="DX117" s="24">
        <f>DV117*AR117*AT117</f>
        <v/>
      </c>
      <c r="DY117" s="7">
        <f>DV117*AY117</f>
        <v/>
      </c>
      <c r="DZ117" s="23">
        <f>DY117*1.06</f>
        <v/>
      </c>
      <c r="EA117" s="22">
        <f>IFERROR(DY117/AZ117,0)</f>
        <v/>
      </c>
      <c r="EB117" s="24" t="n"/>
      <c r="EC117" s="24" t="n"/>
      <c r="ED117" s="24" t="n"/>
      <c r="EE117" s="24" t="n"/>
      <c r="EF117" s="24" t="n"/>
      <c r="EG117" s="24" t="n"/>
      <c r="EH117" s="24" t="n"/>
      <c r="EI117" s="24" t="n"/>
      <c r="EJ117" s="24" t="n"/>
      <c r="EK117" s="24" t="n"/>
      <c r="EL117" s="24" t="n"/>
      <c r="EM117" s="24" t="n"/>
    </row>
    <row r="118" ht="11.65" customFormat="1" customHeight="1" s="12">
      <c r="AY118" s="18" t="n"/>
      <c r="AZ118" s="8">
        <f>SUM(AZ3:AZ117)</f>
        <v/>
      </c>
      <c r="BA118" s="8">
        <f>SUM(BA3:BA117)</f>
        <v/>
      </c>
      <c r="DY118" s="8">
        <f>SUM(DY1:DY117)</f>
        <v/>
      </c>
      <c r="DZ118" s="8">
        <f>SUM(DZ1:DZ117)</f>
        <v/>
      </c>
      <c r="EA118" s="90" t="n"/>
    </row>
    <row r="119" ht="11.65" customFormat="1" customHeight="1" s="12">
      <c r="EA119" s="18" t="n"/>
    </row>
    <row r="120" ht="12" customFormat="1" customHeight="1" s="12" thickBot="1">
      <c r="BB120" s="18" t="n"/>
      <c r="BC120" s="18" t="n"/>
      <c r="BD120" s="18" t="n"/>
      <c r="BE120" s="18" t="n"/>
      <c r="DZ120" s="11" t="n"/>
      <c r="EA120" s="90" t="n"/>
    </row>
    <row r="121" ht="12.75" customHeight="1">
      <c r="A121" s="330" t="n"/>
      <c r="AP121" s="375" t="inlineStr">
        <is>
          <t>Club House</t>
        </is>
      </c>
      <c r="AQ121" s="376" t="n"/>
      <c r="AR121" s="376" t="n"/>
      <c r="AS121" s="376" t="n"/>
      <c r="AT121" s="376" t="n"/>
      <c r="AU121" s="376" t="n"/>
      <c r="AV121" s="377" t="n"/>
      <c r="AW121" s="89" t="n"/>
      <c r="AX121" s="89" t="n"/>
      <c r="AY121" s="89" t="n"/>
      <c r="AZ121" s="89" t="n"/>
      <c r="BA121" s="89" t="n"/>
      <c r="BB121" s="89" t="n"/>
      <c r="BC121" s="89" t="n"/>
      <c r="BD121" s="89" t="n"/>
      <c r="BE121" s="89" t="n"/>
      <c r="BF121" s="89" t="n"/>
      <c r="BG121" s="89" t="n"/>
      <c r="BH121" s="89" t="n"/>
      <c r="BI121" s="89" t="n"/>
      <c r="BJ121" s="89" t="n"/>
      <c r="BK121" s="89" t="n"/>
      <c r="BL121" s="89" t="n"/>
      <c r="BM121" s="89" t="n"/>
      <c r="BN121" s="89" t="n"/>
      <c r="BO121" s="89" t="n"/>
      <c r="BP121" s="89" t="n"/>
      <c r="BQ121" s="89" t="n"/>
      <c r="BR121" s="89" t="n"/>
      <c r="BS121" s="89" t="n"/>
      <c r="BT121" s="89" t="n"/>
      <c r="BU121" s="89" t="n"/>
      <c r="BV121" s="89" t="n"/>
      <c r="BW121" s="89" t="n"/>
      <c r="BX121" s="89" t="n"/>
      <c r="BY121" s="89" t="n"/>
      <c r="BZ121" s="89" t="n"/>
      <c r="CA121" s="89" t="n"/>
      <c r="CB121" s="89" t="n"/>
      <c r="CC121" s="89" t="n"/>
      <c r="CD121" s="89" t="n"/>
      <c r="CE121" s="89" t="n"/>
      <c r="CF121" s="89" t="n"/>
      <c r="CG121" s="89" t="n"/>
      <c r="CH121" s="89" t="n"/>
      <c r="CI121" s="89" t="n"/>
      <c r="CJ121" s="89" t="n"/>
      <c r="CK121" s="89" t="n"/>
      <c r="CL121" s="89" t="n"/>
      <c r="CM121" s="89" t="n"/>
      <c r="CN121" s="89" t="n"/>
      <c r="CO121" s="89" t="n"/>
      <c r="CP121" s="89" t="n"/>
      <c r="CQ121" s="89" t="n"/>
      <c r="CR121" s="89" t="n"/>
      <c r="CS121" s="89" t="n"/>
      <c r="CT121" s="89" t="n"/>
      <c r="CU121" s="89" t="n"/>
      <c r="CV121" s="89" t="n"/>
      <c r="CW121" s="89" t="n"/>
      <c r="CX121" s="89" t="n"/>
      <c r="CY121" s="89" t="n"/>
      <c r="CZ121" s="89" t="n"/>
      <c r="DA121" s="89" t="n"/>
      <c r="DB121" s="89" t="n"/>
      <c r="DC121" s="89" t="n"/>
      <c r="DD121" s="89" t="n"/>
      <c r="DE121" s="89" t="n"/>
      <c r="DF121" s="89" t="n"/>
      <c r="DG121" s="89" t="n"/>
      <c r="DH121" s="89" t="n"/>
      <c r="DI121" s="89" t="n"/>
      <c r="DJ121" s="89" t="n"/>
      <c r="DK121" s="89" t="n"/>
      <c r="DL121" s="89" t="n"/>
      <c r="DM121" s="89" t="n"/>
      <c r="DN121" s="89" t="n"/>
      <c r="DO121" s="89" t="n"/>
      <c r="DP121" s="89" t="n"/>
      <c r="DQ121" s="89" t="n"/>
      <c r="DR121" s="89" t="n"/>
      <c r="DS121" s="89" t="n"/>
      <c r="DT121" s="89" t="n"/>
      <c r="DU121" s="375" t="inlineStr">
        <is>
          <t>Club House</t>
        </is>
      </c>
      <c r="DV121" s="376" t="n"/>
      <c r="DW121" s="376" t="n"/>
      <c r="DX121" s="376" t="n"/>
      <c r="DY121" s="376" t="n"/>
      <c r="DZ121" s="376" t="n"/>
      <c r="EA121" s="377" t="n"/>
      <c r="EB121" s="89" t="n"/>
      <c r="EC121" s="89" t="n"/>
      <c r="ED121" s="89" t="n"/>
      <c r="EE121" s="89" t="n"/>
      <c r="EF121" s="89" t="n"/>
      <c r="EG121" s="89" t="n"/>
      <c r="EH121" s="89" t="n"/>
      <c r="EI121" s="89" t="n"/>
      <c r="EJ121" s="89" t="n"/>
      <c r="EK121" s="89" t="n"/>
      <c r="EL121" s="89" t="n"/>
      <c r="EM121" s="89" t="n"/>
    </row>
    <row r="122" ht="12.75" customHeight="1" thickBot="1">
      <c r="A122" s="378" t="n"/>
      <c r="B122" s="378" t="n"/>
      <c r="C122" s="378" t="n"/>
      <c r="D122" s="378" t="n"/>
      <c r="E122" s="378" t="n"/>
      <c r="F122" s="378" t="n"/>
      <c r="G122" s="378" t="n"/>
      <c r="H122" s="378" t="n"/>
      <c r="I122" s="378" t="n"/>
      <c r="J122" s="378" t="n"/>
      <c r="K122" s="378" t="n"/>
      <c r="L122" s="378" t="n"/>
      <c r="M122" s="378" t="n"/>
      <c r="N122" s="378" t="n"/>
      <c r="O122" s="378" t="n"/>
      <c r="P122" s="378" t="n"/>
      <c r="Q122" s="378" t="n"/>
      <c r="R122" s="378" t="n"/>
      <c r="S122" s="378" t="n"/>
      <c r="T122" s="378" t="n"/>
      <c r="U122" s="378" t="n"/>
      <c r="V122" s="378" t="n"/>
      <c r="W122" s="378" t="n"/>
      <c r="X122" s="378" t="n"/>
      <c r="Y122" s="378" t="n"/>
      <c r="Z122" s="378" t="n"/>
      <c r="AA122" s="378" t="n"/>
      <c r="AB122" s="378" t="n"/>
      <c r="AC122" s="378" t="n"/>
      <c r="AD122" s="378" t="n"/>
      <c r="AE122" s="378" t="n"/>
      <c r="AF122" s="378" t="n"/>
      <c r="AG122" s="378" t="n"/>
      <c r="AH122" s="378" t="n"/>
      <c r="AI122" s="378" t="n"/>
      <c r="AJ122" s="378" t="n"/>
      <c r="AK122" s="378" t="n"/>
      <c r="AL122" s="378" t="n"/>
      <c r="AM122" s="378" t="n"/>
      <c r="AN122" s="378" t="n"/>
      <c r="AO122" s="378" t="n"/>
      <c r="AP122" s="379" t="n"/>
      <c r="AQ122" s="380" t="n"/>
      <c r="AR122" s="380" t="n"/>
      <c r="AS122" s="380" t="n"/>
      <c r="AT122" s="380" t="n"/>
      <c r="AU122" s="380" t="n"/>
      <c r="AV122" s="381" t="n"/>
      <c r="AW122" s="89" t="n"/>
      <c r="AX122" s="89" t="n"/>
      <c r="AY122" s="89" t="n"/>
      <c r="AZ122" s="89" t="n"/>
      <c r="BA122" s="89" t="n"/>
      <c r="BB122" s="89" t="n"/>
      <c r="BC122" s="89" t="n"/>
      <c r="BD122" s="89" t="n"/>
      <c r="BE122" s="89" t="n"/>
      <c r="BF122" s="89" t="n"/>
      <c r="BG122" s="89" t="n"/>
      <c r="BH122" s="89" t="n"/>
      <c r="BI122" s="89" t="n"/>
      <c r="BJ122" s="89" t="n"/>
      <c r="BK122" s="89" t="n"/>
      <c r="BL122" s="89" t="n"/>
      <c r="BM122" s="89" t="n"/>
      <c r="BN122" s="89" t="n"/>
      <c r="BO122" s="89" t="n"/>
      <c r="BP122" s="89" t="n"/>
      <c r="BQ122" s="89" t="n"/>
      <c r="BR122" s="89" t="n"/>
      <c r="BS122" s="89" t="n"/>
      <c r="BT122" s="89" t="n"/>
      <c r="BU122" s="89" t="n"/>
      <c r="BV122" s="89" t="n"/>
      <c r="BW122" s="89" t="n"/>
      <c r="BX122" s="89" t="n"/>
      <c r="BY122" s="89" t="n"/>
      <c r="BZ122" s="89" t="n"/>
      <c r="CA122" s="89" t="n"/>
      <c r="CB122" s="89" t="n"/>
      <c r="CC122" s="89" t="n"/>
      <c r="CD122" s="89" t="n"/>
      <c r="CE122" s="89" t="n"/>
      <c r="CF122" s="89" t="n"/>
      <c r="CG122" s="89" t="n"/>
      <c r="CH122" s="89" t="n"/>
      <c r="CI122" s="89" t="n"/>
      <c r="CJ122" s="89" t="n"/>
      <c r="CK122" s="89" t="n"/>
      <c r="CL122" s="89" t="n"/>
      <c r="CM122" s="89" t="n"/>
      <c r="CN122" s="89" t="n"/>
      <c r="CO122" s="89" t="n"/>
      <c r="CP122" s="89" t="n"/>
      <c r="CQ122" s="89" t="n"/>
      <c r="CR122" s="89" t="n"/>
      <c r="CS122" s="89" t="n"/>
      <c r="CT122" s="89" t="n"/>
      <c r="CU122" s="89" t="n"/>
      <c r="CV122" s="89" t="n"/>
      <c r="CW122" s="89" t="n"/>
      <c r="CX122" s="89" t="n"/>
      <c r="CY122" s="89" t="n"/>
      <c r="CZ122" s="89" t="n"/>
      <c r="DA122" s="89" t="n"/>
      <c r="DB122" s="89" t="n"/>
      <c r="DC122" s="89" t="n"/>
      <c r="DD122" s="89" t="n"/>
      <c r="DE122" s="89" t="n"/>
      <c r="DF122" s="89" t="n"/>
      <c r="DG122" s="89" t="n"/>
      <c r="DH122" s="89" t="n"/>
      <c r="DI122" s="89" t="n"/>
      <c r="DJ122" s="89" t="n"/>
      <c r="DK122" s="89" t="n"/>
      <c r="DL122" s="89" t="n"/>
      <c r="DM122" s="89" t="n"/>
      <c r="DN122" s="89" t="n"/>
      <c r="DO122" s="89" t="n"/>
      <c r="DP122" s="89" t="n"/>
      <c r="DQ122" s="89" t="n"/>
      <c r="DR122" s="89" t="n"/>
      <c r="DS122" s="89" t="n"/>
      <c r="DT122" s="89" t="n"/>
      <c r="DU122" s="379" t="n"/>
      <c r="DV122" s="380" t="n"/>
      <c r="DW122" s="380" t="n"/>
      <c r="DX122" s="380" t="n"/>
      <c r="DY122" s="380" t="n"/>
      <c r="DZ122" s="380" t="n"/>
      <c r="EA122" s="381" t="n"/>
      <c r="EB122" s="89" t="n"/>
      <c r="EC122" s="89" t="n"/>
      <c r="ED122" s="89" t="n"/>
      <c r="EE122" s="89" t="n"/>
      <c r="EF122" s="89" t="n"/>
      <c r="EG122" s="89" t="n"/>
      <c r="EH122" s="89" t="n"/>
      <c r="EI122" s="89" t="n"/>
      <c r="EJ122" s="89" t="n"/>
      <c r="EK122" s="89" t="n"/>
      <c r="EL122" s="89" t="n"/>
      <c r="EM122" s="89" t="n"/>
    </row>
    <row r="123" ht="12.75" customHeight="1">
      <c r="A123" s="85" t="inlineStr">
        <is>
          <t>Lumber</t>
        </is>
      </c>
      <c r="B123" s="46" t="n">
        <v>184</v>
      </c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0" t="n"/>
      <c r="AP123" s="88" t="n"/>
      <c r="AQ123" s="24">
        <f>SUM(B123,F123:AO123)</f>
        <v/>
      </c>
      <c r="AR123" s="355" t="n">
        <v>2</v>
      </c>
      <c r="AS123" s="357" t="inlineStr">
        <is>
          <t>x</t>
        </is>
      </c>
      <c r="AT123" s="355" t="n">
        <v>4</v>
      </c>
      <c r="AU123" s="355" t="n">
        <v>1</v>
      </c>
      <c r="AV123" s="87" t="inlineStr">
        <is>
          <t>PT</t>
        </is>
      </c>
      <c r="AW123" s="24">
        <f>AQ123*AU123</f>
        <v/>
      </c>
      <c r="AX123" s="84">
        <f>(AQ123*AR123*AT123*AU123)/12</f>
        <v/>
      </c>
      <c r="AY123" s="62" t="n">
        <v>755</v>
      </c>
      <c r="AZ123" s="7">
        <f>(AX123*AY123)/1000</f>
        <v/>
      </c>
      <c r="BA123" s="83">
        <f>AZ123*1.06</f>
        <v/>
      </c>
      <c r="BB123" s="24" t="n">
        <v>68981028</v>
      </c>
      <c r="BC123" s="24" t="n"/>
      <c r="BD123" s="24" t="n"/>
      <c r="BE123" s="24" t="n"/>
      <c r="BF123" s="20" t="n"/>
      <c r="BG123" s="20" t="n"/>
      <c r="BH123" s="24" t="n"/>
      <c r="BI123" s="24">
        <f>16*12</f>
        <v/>
      </c>
      <c r="BJ123" s="24" t="n"/>
      <c r="BK123" s="24" t="n"/>
      <c r="BL123" s="24" t="n"/>
      <c r="BM123" s="20" t="n"/>
      <c r="BN123" s="20" t="n"/>
      <c r="BO123" s="20" t="n"/>
      <c r="BP123" s="20" t="n"/>
      <c r="BQ123" s="20" t="n"/>
      <c r="BR123" s="20" t="n"/>
      <c r="BS123" s="20" t="n"/>
      <c r="BT123" s="20" t="n"/>
      <c r="BU123" s="20" t="n"/>
      <c r="BV123" s="20" t="n"/>
      <c r="BW123" s="20" t="n"/>
      <c r="BX123" s="20" t="n"/>
      <c r="BY123" s="20" t="n"/>
      <c r="BZ123" s="20" t="n"/>
      <c r="CA123" s="20" t="n"/>
      <c r="CB123" s="20" t="n"/>
      <c r="CC123" s="20" t="n"/>
      <c r="CD123" s="20" t="n"/>
      <c r="CE123" s="20" t="n"/>
      <c r="CF123" s="20" t="n"/>
      <c r="CG123" s="20" t="n"/>
      <c r="CH123" s="20" t="n"/>
      <c r="CI123" s="20" t="n"/>
      <c r="CJ123" s="20" t="n"/>
      <c r="CK123" s="20" t="n"/>
      <c r="CL123" s="20" t="n"/>
      <c r="CM123" s="20" t="n"/>
      <c r="CN123" s="20" t="n"/>
      <c r="CO123" s="20" t="n"/>
      <c r="CP123" s="20" t="n"/>
      <c r="CQ123" s="20" t="n"/>
      <c r="CR123" s="20" t="n"/>
      <c r="CS123" s="20" t="n"/>
      <c r="CT123" s="20" t="n"/>
      <c r="CU123" s="20" t="n"/>
      <c r="CV123" s="20" t="n"/>
      <c r="CW123" s="20" t="n"/>
      <c r="CX123" s="20" t="n"/>
      <c r="CY123" s="20" t="n"/>
      <c r="CZ123" s="20" t="n"/>
      <c r="DA123" s="20" t="n"/>
      <c r="DB123" s="20" t="n"/>
      <c r="DC123" s="20" t="n"/>
      <c r="DD123" s="20" t="n"/>
      <c r="DE123" s="20" t="n"/>
      <c r="DF123" s="20" t="n"/>
      <c r="DG123" s="20" t="n"/>
      <c r="DH123" s="20" t="n"/>
      <c r="DI123" s="20" t="n"/>
      <c r="DJ123" s="20" t="n"/>
      <c r="DK123" s="20" t="n"/>
      <c r="DL123" s="20" t="n"/>
      <c r="DM123" s="20" t="n"/>
      <c r="DN123" s="20" t="n"/>
      <c r="DO123" s="20" t="n"/>
      <c r="DP123" s="20" t="n"/>
      <c r="DQ123" s="20" t="n"/>
      <c r="DR123" s="20" t="n"/>
      <c r="DS123" s="20" t="n"/>
      <c r="DT123" s="20" t="n"/>
      <c r="DU123" s="20" t="n"/>
      <c r="DV123" s="24">
        <f>SUM(BC123:DS123)</f>
        <v/>
      </c>
      <c r="DW123" s="24">
        <f>DV123*AU123</f>
        <v/>
      </c>
      <c r="DX123" s="24">
        <f>DV123*AR123*AT123*AU123/12</f>
        <v/>
      </c>
      <c r="DY123" s="7">
        <f>DX123*AY123/1000</f>
        <v/>
      </c>
      <c r="DZ123" s="23">
        <f>DY123*1.07</f>
        <v/>
      </c>
      <c r="EA123" s="22">
        <f>IFERROR(DY123/AZ123,0)</f>
        <v/>
      </c>
      <c r="EB123" s="20" t="n"/>
      <c r="EC123" s="20" t="n"/>
      <c r="ED123" s="20" t="n"/>
      <c r="EE123" s="20">
        <f>IF(EB123&lt;&gt;"",EB123*ED123,0)</f>
        <v/>
      </c>
      <c r="EF123" s="20">
        <f>DV123-EE123</f>
        <v/>
      </c>
      <c r="EG123" s="20">
        <f>EF123*AU123</f>
        <v/>
      </c>
      <c r="EH123" s="20">
        <f>(EF123*AR123*AT123*AU123)/12</f>
        <v/>
      </c>
      <c r="EI123" s="20">
        <f>IFERROR(EH123/DV123,0)</f>
        <v/>
      </c>
      <c r="EJ123" s="20">
        <f>IFERROR(EH123*AY123/1000,0)</f>
        <v/>
      </c>
      <c r="EK123" s="20">
        <f>EJ123*1.07</f>
        <v/>
      </c>
      <c r="EL123" s="20" t="n"/>
      <c r="EM123" s="20" t="n"/>
    </row>
    <row r="124" ht="12.75" customHeight="1">
      <c r="A124" s="85" t="inlineStr">
        <is>
          <t>Lumber</t>
        </is>
      </c>
      <c r="B124" s="46" t="n">
        <v>604</v>
      </c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0" t="n"/>
      <c r="AL124" s="20" t="n"/>
      <c r="AM124" s="20" t="n"/>
      <c r="AN124" s="20" t="n"/>
      <c r="AO124" s="20" t="n"/>
      <c r="AP124" s="20" t="n"/>
      <c r="AQ124" s="24">
        <f>SUM(B124,F124:AO124)</f>
        <v/>
      </c>
      <c r="AR124" s="30" t="n">
        <v>2</v>
      </c>
      <c r="AS124" s="29" t="inlineStr">
        <is>
          <t>x</t>
        </is>
      </c>
      <c r="AT124" s="30" t="n">
        <v>6</v>
      </c>
      <c r="AU124" s="30" t="n">
        <v>1</v>
      </c>
      <c r="AV124" s="80" t="inlineStr">
        <is>
          <t>PT</t>
        </is>
      </c>
      <c r="AW124" s="24">
        <f>AQ124*AU124</f>
        <v/>
      </c>
      <c r="AX124" s="84">
        <f>(AQ124*AR124*AT124*AU124)/12</f>
        <v/>
      </c>
      <c r="AY124" s="62" t="n">
        <v>755</v>
      </c>
      <c r="AZ124" s="7">
        <f>(AX124*AY124)/1000</f>
        <v/>
      </c>
      <c r="BA124" s="83">
        <f>AZ124*1.06</f>
        <v/>
      </c>
      <c r="BB124" s="24" t="n">
        <v>68981028</v>
      </c>
      <c r="BC124" s="24" t="n"/>
      <c r="BD124" s="24" t="n"/>
      <c r="BE124" s="24" t="n"/>
      <c r="BF124" s="20" t="n"/>
      <c r="BG124" s="20" t="n"/>
      <c r="BH124" s="24" t="n"/>
      <c r="BI124" s="24">
        <f>50*12</f>
        <v/>
      </c>
      <c r="BJ124" s="24" t="n"/>
      <c r="BK124" s="24" t="n"/>
      <c r="BL124" s="24" t="n"/>
      <c r="BM124" s="20" t="n"/>
      <c r="BN124" s="20" t="n"/>
      <c r="BO124" s="20" t="n"/>
      <c r="BP124" s="20" t="n"/>
      <c r="BQ124" s="20" t="n"/>
      <c r="BR124" s="20" t="n"/>
      <c r="BS124" s="20" t="n"/>
      <c r="BT124" s="20" t="n"/>
      <c r="BU124" s="20" t="n"/>
      <c r="BV124" s="20" t="n"/>
      <c r="BW124" s="20" t="n"/>
      <c r="BX124" s="20" t="n"/>
      <c r="BY124" s="20" t="n"/>
      <c r="BZ124" s="20" t="n"/>
      <c r="CA124" s="20" t="n"/>
      <c r="CB124" s="20" t="n"/>
      <c r="CC124" s="20" t="n"/>
      <c r="CD124" s="20" t="n"/>
      <c r="CE124" s="20" t="n"/>
      <c r="CF124" s="20" t="n"/>
      <c r="CG124" s="20" t="n"/>
      <c r="CH124" s="20" t="n"/>
      <c r="CI124" s="20" t="n"/>
      <c r="CJ124" s="20" t="n"/>
      <c r="CK124" s="20" t="n"/>
      <c r="CL124" s="20" t="n"/>
      <c r="CM124" s="20" t="n"/>
      <c r="CN124" s="20" t="n"/>
      <c r="CO124" s="20" t="n"/>
      <c r="CP124" s="20" t="n"/>
      <c r="CQ124" s="20" t="n"/>
      <c r="CR124" s="20" t="n"/>
      <c r="CS124" s="20" t="n"/>
      <c r="CT124" s="20" t="n"/>
      <c r="CU124" s="20" t="n"/>
      <c r="CV124" s="20" t="n"/>
      <c r="CW124" s="20" t="n"/>
      <c r="CX124" s="20" t="n"/>
      <c r="CY124" s="20" t="n"/>
      <c r="CZ124" s="20" t="n"/>
      <c r="DA124" s="20" t="n"/>
      <c r="DB124" s="20" t="n"/>
      <c r="DC124" s="20" t="n"/>
      <c r="DD124" s="20" t="n"/>
      <c r="DE124" s="20" t="n"/>
      <c r="DF124" s="20" t="n"/>
      <c r="DG124" s="20" t="n"/>
      <c r="DH124" s="20" t="n"/>
      <c r="DI124" s="20" t="n"/>
      <c r="DJ124" s="20" t="n"/>
      <c r="DK124" s="20" t="n"/>
      <c r="DL124" s="20" t="n"/>
      <c r="DM124" s="20" t="n"/>
      <c r="DN124" s="20" t="n"/>
      <c r="DO124" s="20" t="n"/>
      <c r="DP124" s="20" t="n"/>
      <c r="DQ124" s="20" t="n"/>
      <c r="DR124" s="20" t="n"/>
      <c r="DS124" s="20" t="n"/>
      <c r="DT124" s="20" t="n"/>
      <c r="DU124" s="20" t="n"/>
      <c r="DV124" s="24">
        <f>SUM(BC124:DS124)</f>
        <v/>
      </c>
      <c r="DW124" s="24">
        <f>DV124*AU124</f>
        <v/>
      </c>
      <c r="DX124" s="24">
        <f>DV124*AR124*AT124*AU124/12</f>
        <v/>
      </c>
      <c r="DY124" s="7">
        <f>DX124*AY124/1000</f>
        <v/>
      </c>
      <c r="DZ124" s="23">
        <f>DY124*1.07</f>
        <v/>
      </c>
      <c r="EA124" s="22">
        <f>IFERROR(DY124/AZ124,0)</f>
        <v/>
      </c>
      <c r="EB124" s="20" t="n"/>
      <c r="EC124" s="20" t="n"/>
      <c r="ED124" s="20" t="n"/>
      <c r="EE124" s="20">
        <f>IF(EB124&lt;&gt;"",EB124*ED124,0)</f>
        <v/>
      </c>
      <c r="EF124" s="20">
        <f>DV124-EE124</f>
        <v/>
      </c>
      <c r="EG124" s="20">
        <f>EF124*AU124</f>
        <v/>
      </c>
      <c r="EH124" s="20">
        <f>(EF124*AR124*AT124*AU124)/12</f>
        <v/>
      </c>
      <c r="EI124" s="20">
        <f>IFERROR(EH124/DV124,0)</f>
        <v/>
      </c>
      <c r="EJ124" s="20">
        <f>IFERROR(EH124*AY124/1000,0)</f>
        <v/>
      </c>
      <c r="EK124" s="20">
        <f>EJ124*1.07</f>
        <v/>
      </c>
      <c r="EL124" s="20" t="n"/>
      <c r="EM124" s="20" t="n"/>
    </row>
    <row r="125" ht="12.75" customHeight="1">
      <c r="A125" s="85" t="inlineStr">
        <is>
          <t>Lumber</t>
        </is>
      </c>
      <c r="B125" s="46" t="n">
        <v>179</v>
      </c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n"/>
      <c r="AJ125" s="20" t="n"/>
      <c r="AK125" s="20" t="n"/>
      <c r="AL125" s="20" t="n"/>
      <c r="AM125" s="20" t="n"/>
      <c r="AN125" s="20" t="n"/>
      <c r="AO125" s="20" t="n"/>
      <c r="AP125" s="20" t="n"/>
      <c r="AQ125" s="24">
        <f>SUM(B125,F125:AO125)</f>
        <v/>
      </c>
      <c r="AR125" s="30" t="n">
        <v>2</v>
      </c>
      <c r="AS125" s="29" t="inlineStr">
        <is>
          <t>X</t>
        </is>
      </c>
      <c r="AT125" s="30" t="n">
        <v>8</v>
      </c>
      <c r="AU125" s="30" t="n">
        <v>1</v>
      </c>
      <c r="AV125" s="80" t="inlineStr">
        <is>
          <t>PT</t>
        </is>
      </c>
      <c r="AW125" s="24">
        <f>AQ125*AU125</f>
        <v/>
      </c>
      <c r="AX125" s="86">
        <f>(AQ125*AR125*AT125*AU125)/12</f>
        <v/>
      </c>
      <c r="AY125" s="62" t="n">
        <v>755</v>
      </c>
      <c r="AZ125" s="7">
        <f>(AX125*AY125)/1000</f>
        <v/>
      </c>
      <c r="BA125" s="83">
        <f>AZ125*1.06</f>
        <v/>
      </c>
      <c r="BB125" s="24" t="n">
        <v>68981028</v>
      </c>
      <c r="BC125" s="24" t="n"/>
      <c r="BD125" s="24" t="n"/>
      <c r="BE125" s="24" t="n"/>
      <c r="BF125" s="20" t="n"/>
      <c r="BG125" s="20" t="n"/>
      <c r="BH125" s="24" t="n"/>
      <c r="BI125" s="24">
        <f>15*12</f>
        <v/>
      </c>
      <c r="BJ125" s="24" t="n"/>
      <c r="BK125" s="24" t="n"/>
      <c r="BL125" s="24" t="n"/>
      <c r="BM125" s="20" t="n"/>
      <c r="BN125" s="20" t="n"/>
      <c r="BO125" s="20" t="n"/>
      <c r="BP125" s="20" t="n"/>
      <c r="BQ125" s="20" t="n"/>
      <c r="BR125" s="20" t="n"/>
      <c r="BS125" s="20" t="n"/>
      <c r="BT125" s="20" t="n"/>
      <c r="BU125" s="20" t="n"/>
      <c r="BV125" s="20" t="n"/>
      <c r="BW125" s="20" t="n"/>
      <c r="BX125" s="20" t="n"/>
      <c r="BY125" s="20" t="n"/>
      <c r="BZ125" s="20" t="n"/>
      <c r="CA125" s="20" t="n"/>
      <c r="CB125" s="20" t="n"/>
      <c r="CC125" s="20" t="n"/>
      <c r="CD125" s="20" t="n"/>
      <c r="CE125" s="20" t="n"/>
      <c r="CF125" s="20" t="n"/>
      <c r="CG125" s="20" t="n"/>
      <c r="CH125" s="20" t="n"/>
      <c r="CI125" s="20" t="n"/>
      <c r="CJ125" s="20" t="n"/>
      <c r="CK125" s="20" t="n"/>
      <c r="CL125" s="20" t="n"/>
      <c r="CM125" s="20" t="n"/>
      <c r="CN125" s="20" t="n"/>
      <c r="CO125" s="20" t="n"/>
      <c r="CP125" s="20" t="n"/>
      <c r="CQ125" s="20" t="n"/>
      <c r="CR125" s="20" t="n"/>
      <c r="CS125" s="20" t="n"/>
      <c r="CT125" s="20" t="n"/>
      <c r="CU125" s="20" t="n"/>
      <c r="CV125" s="20" t="n"/>
      <c r="CW125" s="20" t="n"/>
      <c r="CX125" s="20" t="n"/>
      <c r="CY125" s="20" t="n"/>
      <c r="CZ125" s="20" t="n"/>
      <c r="DA125" s="20" t="n"/>
      <c r="DB125" s="20" t="n"/>
      <c r="DC125" s="20" t="n"/>
      <c r="DD125" s="20" t="n"/>
      <c r="DE125" s="20" t="n"/>
      <c r="DF125" s="20" t="n"/>
      <c r="DG125" s="20" t="n"/>
      <c r="DH125" s="20" t="n"/>
      <c r="DI125" s="20" t="n"/>
      <c r="DJ125" s="20" t="n"/>
      <c r="DK125" s="20" t="n"/>
      <c r="DL125" s="20" t="n"/>
      <c r="DM125" s="20" t="n"/>
      <c r="DN125" s="20" t="n"/>
      <c r="DO125" s="20" t="n"/>
      <c r="DP125" s="20" t="n"/>
      <c r="DQ125" s="20" t="n"/>
      <c r="DR125" s="20" t="n"/>
      <c r="DS125" s="20" t="n"/>
      <c r="DT125" s="20" t="n"/>
      <c r="DU125" s="20" t="n"/>
      <c r="DV125" s="24">
        <f>SUM(BC125:DS125)</f>
        <v/>
      </c>
      <c r="DW125" s="24">
        <f>DV125*AU125</f>
        <v/>
      </c>
      <c r="DX125" s="24">
        <f>DV125*AR125*AT125*AU125/12</f>
        <v/>
      </c>
      <c r="DY125" s="7">
        <f>DX125*AY125/1000</f>
        <v/>
      </c>
      <c r="DZ125" s="23">
        <f>DY125*1.07</f>
        <v/>
      </c>
      <c r="EA125" s="22">
        <f>IFERROR(DY125/AZ125,0)</f>
        <v/>
      </c>
      <c r="EB125" s="20" t="n"/>
      <c r="EC125" s="20" t="n"/>
      <c r="ED125" s="20" t="n"/>
      <c r="EE125" s="20">
        <f>IF(EB125&lt;&gt;"",EB125*ED125,0)</f>
        <v/>
      </c>
      <c r="EF125" s="20">
        <f>DV125-EE125</f>
        <v/>
      </c>
      <c r="EG125" s="20">
        <f>EF125*AU125</f>
        <v/>
      </c>
      <c r="EH125" s="20">
        <f>(EF125*AR125*AT125*AU125)/12</f>
        <v/>
      </c>
      <c r="EI125" s="20">
        <f>IFERROR(EH125/DV125,0)</f>
        <v/>
      </c>
      <c r="EJ125" s="20">
        <f>IFERROR(EH125*AY125/1000,0)</f>
        <v/>
      </c>
      <c r="EK125" s="20">
        <f>EJ125*1.07</f>
        <v/>
      </c>
      <c r="EL125" s="20" t="n"/>
      <c r="EM125" s="20" t="n"/>
    </row>
    <row r="126" ht="12.75" customHeight="1">
      <c r="A126" s="85" t="inlineStr">
        <is>
          <t>Lumber</t>
        </is>
      </c>
      <c r="B126" s="46" t="n">
        <v>84</v>
      </c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  <c r="AJ126" s="20" t="n"/>
      <c r="AK126" s="20" t="n"/>
      <c r="AL126" s="20" t="n"/>
      <c r="AM126" s="20" t="n"/>
      <c r="AN126" s="20" t="n"/>
      <c r="AO126" s="20" t="n"/>
      <c r="AP126" s="20" t="n"/>
      <c r="AQ126" s="24">
        <f>SUM(B126,F126:AO126)</f>
        <v/>
      </c>
      <c r="AR126" s="30" t="n">
        <v>2</v>
      </c>
      <c r="AS126" s="29" t="inlineStr">
        <is>
          <t>x</t>
        </is>
      </c>
      <c r="AT126" s="30" t="n">
        <v>12</v>
      </c>
      <c r="AU126" s="30" t="n">
        <v>1</v>
      </c>
      <c r="AV126" s="80" t="inlineStr">
        <is>
          <t>PT</t>
        </is>
      </c>
      <c r="AW126" s="24">
        <f>AQ126*AU126</f>
        <v/>
      </c>
      <c r="AX126" s="84">
        <f>(AQ126*AR126*AT126*AU126)/12</f>
        <v/>
      </c>
      <c r="AY126" s="62" t="n">
        <v>845</v>
      </c>
      <c r="AZ126" s="7">
        <f>(AX126*AY126)/1000</f>
        <v/>
      </c>
      <c r="BA126" s="83">
        <f>AZ126*1.06</f>
        <v/>
      </c>
      <c r="BB126" s="20" t="n"/>
      <c r="BC126" s="20" t="n"/>
      <c r="BD126" s="20" t="n"/>
      <c r="BE126" s="20" t="n"/>
      <c r="BF126" s="20" t="n"/>
      <c r="BG126" s="20" t="n"/>
      <c r="BH126" s="24" t="n"/>
      <c r="BI126" s="24" t="n"/>
      <c r="BJ126" s="24" t="n"/>
      <c r="BK126" s="24" t="n"/>
      <c r="BL126" s="24" t="n"/>
      <c r="BM126" s="20" t="n"/>
      <c r="BN126" s="20" t="n"/>
      <c r="BO126" s="20" t="n"/>
      <c r="BP126" s="20" t="n"/>
      <c r="BQ126" s="20" t="n"/>
      <c r="BR126" s="20" t="n"/>
      <c r="BS126" s="20" t="n"/>
      <c r="BT126" s="20" t="n"/>
      <c r="BU126" s="20" t="n"/>
      <c r="BV126" s="20" t="n"/>
      <c r="BW126" s="20" t="n"/>
      <c r="BX126" s="20" t="n"/>
      <c r="BY126" s="20" t="n"/>
      <c r="BZ126" s="20" t="n"/>
      <c r="CA126" s="20" t="n"/>
      <c r="CB126" s="20" t="n"/>
      <c r="CC126" s="20" t="n"/>
      <c r="CD126" s="20" t="n"/>
      <c r="CE126" s="20" t="n"/>
      <c r="CF126" s="20" t="n"/>
      <c r="CG126" s="20" t="n"/>
      <c r="CH126" s="20" t="n"/>
      <c r="CI126" s="20" t="n"/>
      <c r="CJ126" s="20" t="n"/>
      <c r="CK126" s="20" t="n"/>
      <c r="CL126" s="20" t="n"/>
      <c r="CM126" s="20" t="n"/>
      <c r="CN126" s="20" t="n"/>
      <c r="CO126" s="20" t="n"/>
      <c r="CP126" s="20" t="n"/>
      <c r="CQ126" s="20" t="n"/>
      <c r="CR126" s="20" t="n"/>
      <c r="CS126" s="20" t="n"/>
      <c r="CT126" s="20" t="n"/>
      <c r="CU126" s="20" t="n"/>
      <c r="CV126" s="20" t="n"/>
      <c r="CW126" s="20" t="n"/>
      <c r="CX126" s="20" t="n"/>
      <c r="CY126" s="20" t="n"/>
      <c r="CZ126" s="20" t="n"/>
      <c r="DA126" s="20" t="n"/>
      <c r="DB126" s="20" t="n"/>
      <c r="DC126" s="20" t="n"/>
      <c r="DD126" s="20" t="n"/>
      <c r="DE126" s="20" t="n"/>
      <c r="DF126" s="20" t="n"/>
      <c r="DG126" s="20" t="n"/>
      <c r="DH126" s="20" t="n"/>
      <c r="DI126" s="20" t="n"/>
      <c r="DJ126" s="20" t="n"/>
      <c r="DK126" s="20" t="n"/>
      <c r="DL126" s="20" t="n"/>
      <c r="DM126" s="20" t="n"/>
      <c r="DN126" s="20" t="n"/>
      <c r="DO126" s="20" t="n"/>
      <c r="DP126" s="20" t="n"/>
      <c r="DQ126" s="20" t="n"/>
      <c r="DR126" s="20" t="n"/>
      <c r="DS126" s="20" t="n"/>
      <c r="DT126" s="20" t="n"/>
      <c r="DU126" s="20" t="n"/>
      <c r="DV126" s="24">
        <f>SUM(BC126:DS126)</f>
        <v/>
      </c>
      <c r="DW126" s="24">
        <f>DV126*AU126</f>
        <v/>
      </c>
      <c r="DX126" s="24">
        <f>DV126*AR126*AT126*AU126/12</f>
        <v/>
      </c>
      <c r="DY126" s="7">
        <f>DX126*AY126/1000</f>
        <v/>
      </c>
      <c r="DZ126" s="23">
        <f>DY126*1.07</f>
        <v/>
      </c>
      <c r="EA126" s="22">
        <f>IFERROR(DY126/AZ126,0)</f>
        <v/>
      </c>
      <c r="EB126" s="20" t="n"/>
      <c r="EC126" s="20" t="n"/>
      <c r="ED126" s="20" t="n"/>
      <c r="EE126" s="20">
        <f>IF(EB126&lt;&gt;"",EB126*ED126,0)</f>
        <v/>
      </c>
      <c r="EF126" s="20">
        <f>DV126-EE126</f>
        <v/>
      </c>
      <c r="EG126" s="20">
        <f>EF126*AU126</f>
        <v/>
      </c>
      <c r="EH126" s="20">
        <f>(EF126*AR126*AT126*AU126)/12</f>
        <v/>
      </c>
      <c r="EI126" s="20">
        <f>IFERROR(EH126/DV126,0)</f>
        <v/>
      </c>
      <c r="EJ126" s="20">
        <f>IFERROR(EH126*AY126/1000,0)</f>
        <v/>
      </c>
      <c r="EK126" s="20">
        <f>EJ126*1.07</f>
        <v/>
      </c>
      <c r="EL126" s="20" t="n"/>
      <c r="EM126" s="20" t="n"/>
    </row>
    <row r="127" ht="12.75" customHeight="1">
      <c r="A127" s="85" t="inlineStr">
        <is>
          <t>Lumber</t>
        </is>
      </c>
      <c r="B127" s="46" t="n">
        <v>189</v>
      </c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0" t="n"/>
      <c r="AQ127" s="24">
        <f>SUM(B127,F127:AO127)</f>
        <v/>
      </c>
      <c r="AR127" s="30" t="n">
        <v>2</v>
      </c>
      <c r="AS127" s="29" t="inlineStr">
        <is>
          <t>x</t>
        </is>
      </c>
      <c r="AT127" s="30" t="n">
        <v>12</v>
      </c>
      <c r="AU127" s="30" t="n">
        <v>12</v>
      </c>
      <c r="AV127" s="80" t="inlineStr">
        <is>
          <t>PT</t>
        </is>
      </c>
      <c r="AW127" s="24">
        <f>AQ127*AU127</f>
        <v/>
      </c>
      <c r="AX127" s="84">
        <f>(AQ127*AR127*AT127*AU127)/12</f>
        <v/>
      </c>
      <c r="AY127" s="62" t="n">
        <v>845</v>
      </c>
      <c r="AZ127" s="7">
        <f>(AX127*AY127)/1000</f>
        <v/>
      </c>
      <c r="BA127" s="83">
        <f>AZ127*1.06</f>
        <v/>
      </c>
      <c r="BB127" s="20" t="n"/>
      <c r="BC127" s="20" t="n"/>
      <c r="BD127" s="20" t="n"/>
      <c r="BE127" s="20" t="n"/>
      <c r="BF127" s="20" t="n"/>
      <c r="BG127" s="20" t="n"/>
      <c r="BH127" s="24" t="n"/>
      <c r="BI127" s="24" t="n"/>
      <c r="BJ127" s="24" t="n"/>
      <c r="BK127" s="24" t="n"/>
      <c r="BL127" s="24" t="n"/>
      <c r="BM127" s="20" t="n"/>
      <c r="BN127" s="20" t="n"/>
      <c r="BO127" s="20" t="n"/>
      <c r="BP127" s="20" t="n"/>
      <c r="BQ127" s="20" t="n"/>
      <c r="BR127" s="20" t="n"/>
      <c r="BS127" s="20" t="n"/>
      <c r="BT127" s="20" t="n"/>
      <c r="BU127" s="20" t="n"/>
      <c r="BV127" s="20" t="n"/>
      <c r="BW127" s="20" t="n"/>
      <c r="BX127" s="20" t="n"/>
      <c r="BY127" s="20" t="n"/>
      <c r="BZ127" s="20" t="n"/>
      <c r="CA127" s="20" t="n"/>
      <c r="CB127" s="20" t="n"/>
      <c r="CC127" s="20" t="n"/>
      <c r="CD127" s="20" t="n"/>
      <c r="CE127" s="20" t="n"/>
      <c r="CF127" s="20" t="n"/>
      <c r="CG127" s="20" t="n"/>
      <c r="CH127" s="20" t="n"/>
      <c r="CI127" s="20" t="n"/>
      <c r="CJ127" s="20" t="n"/>
      <c r="CK127" s="20" t="n"/>
      <c r="CL127" s="20" t="n"/>
      <c r="CM127" s="20" t="n"/>
      <c r="CN127" s="20" t="n"/>
      <c r="CO127" s="20" t="n"/>
      <c r="CP127" s="20" t="n"/>
      <c r="CQ127" s="20" t="n"/>
      <c r="CR127" s="20" t="n"/>
      <c r="CS127" s="20" t="n"/>
      <c r="CT127" s="20" t="n"/>
      <c r="CU127" s="20" t="n"/>
      <c r="CV127" s="20" t="n"/>
      <c r="CW127" s="20" t="n"/>
      <c r="CX127" s="20" t="n"/>
      <c r="CY127" s="20" t="n"/>
      <c r="CZ127" s="20" t="n"/>
      <c r="DA127" s="20" t="n"/>
      <c r="DB127" s="20" t="n"/>
      <c r="DC127" s="20" t="n"/>
      <c r="DD127" s="20" t="n"/>
      <c r="DE127" s="20" t="n"/>
      <c r="DF127" s="20" t="n"/>
      <c r="DG127" s="20" t="n"/>
      <c r="DH127" s="20" t="n"/>
      <c r="DI127" s="20" t="n"/>
      <c r="DJ127" s="20" t="n"/>
      <c r="DK127" s="20" t="n"/>
      <c r="DL127" s="20" t="n"/>
      <c r="DM127" s="20" t="n"/>
      <c r="DN127" s="20" t="n"/>
      <c r="DO127" s="20" t="n"/>
      <c r="DP127" s="20" t="n"/>
      <c r="DQ127" s="20" t="n"/>
      <c r="DR127" s="20" t="n"/>
      <c r="DS127" s="20" t="n"/>
      <c r="DT127" s="20" t="n"/>
      <c r="DU127" s="20" t="n"/>
      <c r="DV127" s="24">
        <f>SUM(BC127:DS127)</f>
        <v/>
      </c>
      <c r="DW127" s="24">
        <f>DV127*AU127</f>
        <v/>
      </c>
      <c r="DX127" s="24">
        <f>DV127*AR127*AT127*AU127/12</f>
        <v/>
      </c>
      <c r="DY127" s="7">
        <f>DX127*AY127/1000</f>
        <v/>
      </c>
      <c r="DZ127" s="23">
        <f>DY127*1.07</f>
        <v/>
      </c>
      <c r="EA127" s="22">
        <f>IFERROR(DY127/AZ127,0)</f>
        <v/>
      </c>
      <c r="EB127" s="20" t="n"/>
      <c r="EC127" s="20" t="n"/>
      <c r="ED127" s="20" t="n"/>
      <c r="EE127" s="20">
        <f>IF(EB127&lt;&gt;"",EB127*ED127,0)</f>
        <v/>
      </c>
      <c r="EF127" s="20">
        <f>DV127-EE127</f>
        <v/>
      </c>
      <c r="EG127" s="20">
        <f>EF127*AU127</f>
        <v/>
      </c>
      <c r="EH127" s="20">
        <f>(EF127*AR127*AT127*AU127)/12</f>
        <v/>
      </c>
      <c r="EI127" s="20">
        <f>IFERROR(EH127/DV127,0)</f>
        <v/>
      </c>
      <c r="EJ127" s="20">
        <f>IFERROR(EH127*AY127/1000,0)</f>
        <v/>
      </c>
      <c r="EK127" s="20">
        <f>EJ127*1.07</f>
        <v/>
      </c>
      <c r="EL127" s="20" t="n"/>
      <c r="EM127" s="20" t="n"/>
    </row>
    <row r="128" ht="12.75" customHeight="1">
      <c r="A128" s="85" t="inlineStr">
        <is>
          <t>Lumber</t>
        </is>
      </c>
      <c r="B128" s="46" t="n">
        <v>3</v>
      </c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n"/>
      <c r="AG128" s="20" t="n"/>
      <c r="AH128" s="20" t="n"/>
      <c r="AI128" s="20" t="n"/>
      <c r="AJ128" s="20" t="n"/>
      <c r="AK128" s="20" t="n"/>
      <c r="AL128" s="20" t="n"/>
      <c r="AM128" s="20" t="n"/>
      <c r="AN128" s="20" t="n"/>
      <c r="AO128" s="20" t="n"/>
      <c r="AP128" s="20" t="n"/>
      <c r="AQ128" s="24">
        <f>SUM(B128,F128:AO128)</f>
        <v/>
      </c>
      <c r="AR128" s="30" t="n">
        <v>6</v>
      </c>
      <c r="AS128" s="29" t="inlineStr">
        <is>
          <t>x</t>
        </is>
      </c>
      <c r="AT128" s="30" t="n">
        <v>6</v>
      </c>
      <c r="AU128" s="30" t="n">
        <v>18</v>
      </c>
      <c r="AV128" s="80" t="inlineStr">
        <is>
          <t>PT</t>
        </is>
      </c>
      <c r="AW128" s="24">
        <f>AQ128*AU128</f>
        <v/>
      </c>
      <c r="AX128" s="84">
        <f>(AQ128*AR128*AT128*AU128)/12</f>
        <v/>
      </c>
      <c r="AY128" s="62" t="n">
        <v>1475</v>
      </c>
      <c r="AZ128" s="7">
        <f>(AX128*AY128)/1000</f>
        <v/>
      </c>
      <c r="BA128" s="83">
        <f>AZ128*1.06</f>
        <v/>
      </c>
      <c r="BB128" s="24" t="n">
        <v>68981047</v>
      </c>
      <c r="BC128" s="24" t="n"/>
      <c r="BD128" s="24" t="n"/>
      <c r="BE128" s="24" t="n"/>
      <c r="BF128" s="20" t="n"/>
      <c r="BG128" s="20" t="n"/>
      <c r="BH128" s="24" t="n"/>
      <c r="BI128" s="24" t="n"/>
      <c r="BJ128" s="24" t="n"/>
      <c r="BK128" s="24" t="n"/>
      <c r="BL128" s="24" t="n"/>
      <c r="BM128" s="24" t="n">
        <v>6</v>
      </c>
      <c r="BN128" s="20" t="n"/>
      <c r="BO128" s="20" t="n"/>
      <c r="BP128" s="20" t="n"/>
      <c r="BQ128" s="20" t="n"/>
      <c r="BR128" s="20" t="n"/>
      <c r="BS128" s="20" t="n"/>
      <c r="BT128" s="20" t="n"/>
      <c r="BU128" s="20" t="n"/>
      <c r="BV128" s="20" t="n"/>
      <c r="BW128" s="20" t="n"/>
      <c r="BX128" s="20" t="n"/>
      <c r="BY128" s="20" t="n"/>
      <c r="BZ128" s="20" t="n"/>
      <c r="CA128" s="20" t="n"/>
      <c r="CB128" s="20" t="n"/>
      <c r="CC128" s="20" t="n"/>
      <c r="CD128" s="20" t="n"/>
      <c r="CE128" s="20" t="n"/>
      <c r="CF128" s="20" t="n"/>
      <c r="CG128" s="20" t="n"/>
      <c r="CH128" s="20" t="n"/>
      <c r="CI128" s="20" t="n"/>
      <c r="CJ128" s="20" t="n"/>
      <c r="CK128" s="20" t="n"/>
      <c r="CL128" s="20" t="n"/>
      <c r="CM128" s="20" t="n"/>
      <c r="CN128" s="20" t="n"/>
      <c r="CO128" s="20" t="n"/>
      <c r="CP128" s="20" t="n"/>
      <c r="CQ128" s="20" t="n"/>
      <c r="CR128" s="20" t="n"/>
      <c r="CS128" s="20" t="n"/>
      <c r="CT128" s="20" t="n"/>
      <c r="CU128" s="20" t="n"/>
      <c r="CV128" s="20" t="n"/>
      <c r="CW128" s="20" t="n"/>
      <c r="CX128" s="20" t="n"/>
      <c r="CY128" s="20" t="n"/>
      <c r="CZ128" s="20" t="n"/>
      <c r="DA128" s="20" t="n"/>
      <c r="DB128" s="20" t="n"/>
      <c r="DC128" s="20" t="n"/>
      <c r="DD128" s="20" t="n"/>
      <c r="DE128" s="20" t="n"/>
      <c r="DF128" s="20" t="n"/>
      <c r="DG128" s="20" t="n"/>
      <c r="DH128" s="20" t="n"/>
      <c r="DI128" s="20" t="n"/>
      <c r="DJ128" s="20" t="n"/>
      <c r="DK128" s="20" t="n"/>
      <c r="DL128" s="20" t="n"/>
      <c r="DM128" s="20" t="n"/>
      <c r="DN128" s="20" t="n"/>
      <c r="DO128" s="20" t="n"/>
      <c r="DP128" s="20" t="n"/>
      <c r="DQ128" s="20" t="n"/>
      <c r="DR128" s="20" t="n"/>
      <c r="DS128" s="20" t="n"/>
      <c r="DT128" s="20" t="n"/>
      <c r="DU128" s="20" t="n"/>
      <c r="DV128" s="24">
        <f>SUM(BC128:DS128)</f>
        <v/>
      </c>
      <c r="DW128" s="24">
        <f>DV128*AU128</f>
        <v/>
      </c>
      <c r="DX128" s="24">
        <f>DV128*AR128*AT128*AU128/12</f>
        <v/>
      </c>
      <c r="DY128" s="7">
        <f>DX128*AY128/1000</f>
        <v/>
      </c>
      <c r="DZ128" s="23">
        <f>DY128*1.07</f>
        <v/>
      </c>
      <c r="EA128" s="22">
        <f>IFERROR(DY128/AZ128,0)</f>
        <v/>
      </c>
      <c r="EB128" s="20" t="n"/>
      <c r="EC128" s="20" t="n"/>
      <c r="ED128" s="20" t="n"/>
      <c r="EE128" s="20">
        <f>IF(EB128&lt;&gt;"",EB128*ED128,0)</f>
        <v/>
      </c>
      <c r="EF128" s="20">
        <f>DV128-EE128</f>
        <v/>
      </c>
      <c r="EG128" s="20">
        <f>EF128*AU128</f>
        <v/>
      </c>
      <c r="EH128" s="20">
        <f>(EF128*AR128*AT128*AU128)/12</f>
        <v/>
      </c>
      <c r="EI128" s="20">
        <f>IFERROR(EH128/DV128,0)</f>
        <v/>
      </c>
      <c r="EJ128" s="20">
        <f>IFERROR(EH128*AY128/1000,0)</f>
        <v/>
      </c>
      <c r="EK128" s="20">
        <f>EJ128*1.07</f>
        <v/>
      </c>
      <c r="EL128" s="20" t="n"/>
      <c r="EM128" s="20" t="n"/>
    </row>
    <row r="129" ht="12.75" customHeight="1">
      <c r="A129" s="85" t="inlineStr">
        <is>
          <t>Lumber</t>
        </is>
      </c>
      <c r="B129" s="46" t="n">
        <v>5</v>
      </c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0" t="n"/>
      <c r="AQ129" s="24">
        <f>SUM(B129,F129:AO129)</f>
        <v/>
      </c>
      <c r="AR129" s="30" t="n">
        <v>8</v>
      </c>
      <c r="AS129" s="29" t="inlineStr">
        <is>
          <t>x</t>
        </is>
      </c>
      <c r="AT129" s="30" t="n">
        <v>8</v>
      </c>
      <c r="AU129" s="30" t="n">
        <v>26</v>
      </c>
      <c r="AV129" s="80" t="inlineStr">
        <is>
          <t>GLB MCA</t>
        </is>
      </c>
      <c r="AW129" s="24">
        <f>AQ129*AU129</f>
        <v/>
      </c>
      <c r="AX129" s="84">
        <f>(AQ129*AR129*AT129*AU129)/12</f>
        <v/>
      </c>
      <c r="AY129" s="62" t="n">
        <v>46</v>
      </c>
      <c r="AZ129" s="7">
        <f>(AX129*AY129)/1000</f>
        <v/>
      </c>
      <c r="BA129" s="83">
        <f>AZ129*1.06</f>
        <v/>
      </c>
      <c r="BB129" s="20" t="n"/>
      <c r="BC129" s="20" t="n"/>
      <c r="BD129" s="20" t="n"/>
      <c r="BE129" s="20" t="n"/>
      <c r="BF129" s="20" t="n"/>
      <c r="BG129" s="20" t="n"/>
      <c r="BH129" s="24" t="n"/>
      <c r="BI129" s="24" t="n"/>
      <c r="BJ129" s="24" t="n"/>
      <c r="BK129" s="24" t="n"/>
      <c r="BL129" s="24" t="n"/>
      <c r="BM129" s="20" t="n"/>
      <c r="BN129" s="20" t="n"/>
      <c r="BO129" s="20" t="n"/>
      <c r="BP129" s="20" t="n"/>
      <c r="BQ129" s="20" t="n"/>
      <c r="BR129" s="20" t="n"/>
      <c r="BS129" s="20" t="n"/>
      <c r="BT129" s="20" t="n"/>
      <c r="BU129" s="20" t="n"/>
      <c r="BV129" s="20" t="n"/>
      <c r="BW129" s="20" t="n"/>
      <c r="BX129" s="20" t="n"/>
      <c r="BY129" s="20" t="n"/>
      <c r="BZ129" s="20" t="n"/>
      <c r="CA129" s="20" t="n"/>
      <c r="CB129" s="20" t="n"/>
      <c r="CC129" s="20" t="n"/>
      <c r="CD129" s="20" t="n"/>
      <c r="CE129" s="20" t="n"/>
      <c r="CF129" s="20" t="n"/>
      <c r="CG129" s="20" t="n"/>
      <c r="CH129" s="20" t="n"/>
      <c r="CI129" s="20" t="n"/>
      <c r="CJ129" s="20" t="n"/>
      <c r="CK129" s="20" t="n"/>
      <c r="CL129" s="20" t="n"/>
      <c r="CM129" s="20" t="n"/>
      <c r="CN129" s="20" t="n"/>
      <c r="CO129" s="20" t="n"/>
      <c r="CP129" s="20" t="n"/>
      <c r="CQ129" s="20" t="n"/>
      <c r="CR129" s="20" t="n"/>
      <c r="CS129" s="20" t="n"/>
      <c r="CT129" s="20" t="n"/>
      <c r="CU129" s="20" t="n"/>
      <c r="CV129" s="20" t="n"/>
      <c r="CW129" s="20" t="n"/>
      <c r="CX129" s="20" t="n"/>
      <c r="CY129" s="20" t="n"/>
      <c r="CZ129" s="20" t="n"/>
      <c r="DA129" s="20" t="n"/>
      <c r="DB129" s="20" t="n"/>
      <c r="DC129" s="20" t="n"/>
      <c r="DD129" s="20" t="n"/>
      <c r="DE129" s="20" t="n"/>
      <c r="DF129" s="20" t="n"/>
      <c r="DG129" s="20" t="n"/>
      <c r="DH129" s="20" t="n"/>
      <c r="DI129" s="20" t="n"/>
      <c r="DJ129" s="20" t="n"/>
      <c r="DK129" s="20" t="n"/>
      <c r="DL129" s="20" t="n"/>
      <c r="DM129" s="20" t="n"/>
      <c r="DN129" s="20" t="n"/>
      <c r="DO129" s="20" t="n"/>
      <c r="DP129" s="20" t="n"/>
      <c r="DQ129" s="20" t="n"/>
      <c r="DR129" s="20" t="n"/>
      <c r="DS129" s="20" t="n"/>
      <c r="DT129" s="20" t="n"/>
      <c r="DU129" s="20" t="n"/>
      <c r="DV129" s="24">
        <f>SUM(BC129:DS129)</f>
        <v/>
      </c>
      <c r="DW129" s="24">
        <f>DV129*AU129</f>
        <v/>
      </c>
      <c r="DX129" s="24">
        <f>DV129*AR129*AT129*AU129/12</f>
        <v/>
      </c>
      <c r="DY129" s="7">
        <f>DX129*AY129/1000</f>
        <v/>
      </c>
      <c r="DZ129" s="23">
        <f>DY129*1.07</f>
        <v/>
      </c>
      <c r="EA129" s="22">
        <f>IFERROR(DY129/AZ129,0)</f>
        <v/>
      </c>
      <c r="EB129" s="20" t="n"/>
      <c r="EC129" s="20" t="n"/>
      <c r="ED129" s="20" t="n"/>
      <c r="EE129" s="20">
        <f>IF(EB129&lt;&gt;"",EB129*ED129,0)</f>
        <v/>
      </c>
      <c r="EF129" s="20">
        <f>DV129-EE129</f>
        <v/>
      </c>
      <c r="EG129" s="20">
        <f>EF129*AU129</f>
        <v/>
      </c>
      <c r="EH129" s="20">
        <f>(EF129*AR129*AT129*AU129)/12</f>
        <v/>
      </c>
      <c r="EI129" s="20">
        <f>IFERROR(EH129/DV129,0)</f>
        <v/>
      </c>
      <c r="EJ129" s="20">
        <f>IFERROR(EH129*AY129/1000,0)</f>
        <v/>
      </c>
      <c r="EK129" s="20">
        <f>EJ129*1.07</f>
        <v/>
      </c>
      <c r="EL129" s="20" t="n"/>
      <c r="EM129" s="20" t="n"/>
    </row>
    <row r="130" ht="12.75" customHeight="1">
      <c r="A130" s="85" t="inlineStr">
        <is>
          <t>Lumber</t>
        </is>
      </c>
      <c r="B130" s="46" t="n">
        <v>816</v>
      </c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/>
      <c r="AH130" s="20" t="n"/>
      <c r="AI130" s="20" t="n"/>
      <c r="AJ130" s="20" t="n"/>
      <c r="AK130" s="20" t="n"/>
      <c r="AL130" s="20" t="n"/>
      <c r="AM130" s="20" t="n"/>
      <c r="AN130" s="20" t="n"/>
      <c r="AO130" s="20" t="n"/>
      <c r="AP130" s="20" t="n"/>
      <c r="AQ130" s="24">
        <f>SUM(B130,F130:AO130)</f>
        <v/>
      </c>
      <c r="AR130" s="30" t="n">
        <v>2</v>
      </c>
      <c r="AS130" s="29" t="inlineStr">
        <is>
          <t>x</t>
        </is>
      </c>
      <c r="AT130" s="30" t="n">
        <v>4</v>
      </c>
      <c r="AU130" s="30" t="n">
        <v>1</v>
      </c>
      <c r="AV130" s="80" t="inlineStr">
        <is>
          <t>SYP#2</t>
        </is>
      </c>
      <c r="AW130" s="24">
        <f>AQ130*AU130</f>
        <v/>
      </c>
      <c r="AX130" s="84">
        <f>(AQ130*AR130*AT130*AU130)/12</f>
        <v/>
      </c>
      <c r="AY130" s="62" t="n">
        <v>635</v>
      </c>
      <c r="AZ130" s="7">
        <f>(AX130*AY130)/1000</f>
        <v/>
      </c>
      <c r="BA130" s="83">
        <f>AZ130*1.06</f>
        <v/>
      </c>
      <c r="BB130" s="24" t="n">
        <v>68981029</v>
      </c>
      <c r="BC130" s="24" t="n"/>
      <c r="BD130" s="24" t="n"/>
      <c r="BE130" s="24" t="n"/>
      <c r="BF130" s="20" t="n"/>
      <c r="BG130" s="20" t="n"/>
      <c r="BH130" s="24" t="n"/>
      <c r="BI130" s="24" t="n"/>
      <c r="BJ130" s="24">
        <f>51*16</f>
        <v/>
      </c>
      <c r="BK130" s="24" t="n"/>
      <c r="BL130" s="24" t="n"/>
      <c r="BM130" s="20" t="n"/>
      <c r="BN130" s="20" t="n"/>
      <c r="BO130" s="20" t="n"/>
      <c r="BP130" s="20" t="n"/>
      <c r="BQ130" s="20" t="n"/>
      <c r="BR130" s="20" t="n"/>
      <c r="BS130" s="20" t="n"/>
      <c r="BT130" s="20" t="n"/>
      <c r="BU130" s="20" t="n"/>
      <c r="BV130" s="20" t="n"/>
      <c r="BW130" s="20" t="n"/>
      <c r="BX130" s="20" t="n"/>
      <c r="BY130" s="20" t="n"/>
      <c r="BZ130" s="20" t="n"/>
      <c r="CA130" s="20" t="n"/>
      <c r="CB130" s="20" t="n"/>
      <c r="CC130" s="20" t="n"/>
      <c r="CD130" s="20" t="n"/>
      <c r="CE130" s="20" t="n"/>
      <c r="CF130" s="20" t="n"/>
      <c r="CG130" s="20" t="n"/>
      <c r="CH130" s="20" t="n"/>
      <c r="CI130" s="20" t="n"/>
      <c r="CJ130" s="20" t="n"/>
      <c r="CK130" s="20" t="n"/>
      <c r="CL130" s="20" t="n"/>
      <c r="CM130" s="20" t="n"/>
      <c r="CN130" s="20" t="n"/>
      <c r="CO130" s="20" t="n"/>
      <c r="CP130" s="20" t="n"/>
      <c r="CQ130" s="20" t="n"/>
      <c r="CR130" s="20" t="n"/>
      <c r="CS130" s="20" t="n"/>
      <c r="CT130" s="20" t="n"/>
      <c r="CU130" s="20" t="n"/>
      <c r="CV130" s="20" t="n"/>
      <c r="CW130" s="20" t="n"/>
      <c r="CX130" s="20" t="n"/>
      <c r="CY130" s="20" t="n"/>
      <c r="CZ130" s="20" t="n"/>
      <c r="DA130" s="20" t="n"/>
      <c r="DB130" s="20" t="n"/>
      <c r="DC130" s="20" t="n"/>
      <c r="DD130" s="20" t="n"/>
      <c r="DE130" s="20" t="n"/>
      <c r="DF130" s="20" t="n"/>
      <c r="DG130" s="20" t="n"/>
      <c r="DH130" s="20" t="n"/>
      <c r="DI130" s="20" t="n"/>
      <c r="DJ130" s="20" t="n"/>
      <c r="DK130" s="20" t="n"/>
      <c r="DL130" s="20" t="n"/>
      <c r="DM130" s="20" t="n"/>
      <c r="DN130" s="20" t="n"/>
      <c r="DO130" s="20" t="n"/>
      <c r="DP130" s="20" t="n"/>
      <c r="DQ130" s="20" t="n"/>
      <c r="DR130" s="20" t="n"/>
      <c r="DS130" s="20" t="n"/>
      <c r="DT130" s="20" t="n"/>
      <c r="DU130" s="20" t="n"/>
      <c r="DV130" s="24">
        <f>SUM(BC130:DS130)</f>
        <v/>
      </c>
      <c r="DW130" s="24">
        <f>DV130*AU130</f>
        <v/>
      </c>
      <c r="DX130" s="24">
        <f>DV130*AR130*AT130*AU130/12</f>
        <v/>
      </c>
      <c r="DY130" s="7">
        <f>DX130*AY130/1000</f>
        <v/>
      </c>
      <c r="DZ130" s="23">
        <f>DY130*1.07</f>
        <v/>
      </c>
      <c r="EA130" s="22">
        <f>IFERROR(DY130/AZ130,0)</f>
        <v/>
      </c>
      <c r="EB130" s="20" t="n"/>
      <c r="EC130" s="20" t="n"/>
      <c r="ED130" s="20" t="n"/>
      <c r="EE130" s="20">
        <f>IF(EB130&lt;&gt;"",EB130*ED130,0)</f>
        <v/>
      </c>
      <c r="EF130" s="20">
        <f>DV130-EE130</f>
        <v/>
      </c>
      <c r="EG130" s="20">
        <f>EF130*AU130</f>
        <v/>
      </c>
      <c r="EH130" s="20">
        <f>(EF130*AR130*AT130*AU130)/12</f>
        <v/>
      </c>
      <c r="EI130" s="20">
        <f>IFERROR(EH130/DV130,0)</f>
        <v/>
      </c>
      <c r="EJ130" s="20">
        <f>IFERROR(EH130*AY130/1000,0)</f>
        <v/>
      </c>
      <c r="EK130" s="20">
        <f>EJ130*1.07</f>
        <v/>
      </c>
      <c r="EL130" s="20" t="n"/>
      <c r="EM130" s="20" t="n"/>
    </row>
    <row r="131" ht="12.75" customHeight="1">
      <c r="A131" s="85" t="inlineStr">
        <is>
          <t>Lumber</t>
        </is>
      </c>
      <c r="B131" s="46" t="n">
        <v>2877</v>
      </c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4">
        <f>SUM(B131,F131:AO131)</f>
        <v/>
      </c>
      <c r="AR131" s="30" t="n">
        <v>2</v>
      </c>
      <c r="AS131" s="29" t="inlineStr">
        <is>
          <t>x</t>
        </is>
      </c>
      <c r="AT131" s="30" t="n">
        <v>6</v>
      </c>
      <c r="AU131" s="30" t="n">
        <v>1</v>
      </c>
      <c r="AV131" s="80" t="inlineStr">
        <is>
          <t>SYP#2</t>
        </is>
      </c>
      <c r="AW131" s="24">
        <f>AQ131*AU131</f>
        <v/>
      </c>
      <c r="AX131" s="84">
        <f>(AQ131*AR131*AT131*AU131)/12</f>
        <v/>
      </c>
      <c r="AY131" s="62" t="n">
        <v>635</v>
      </c>
      <c r="AZ131" s="7">
        <f>(AX131*AY131)/1000</f>
        <v/>
      </c>
      <c r="BA131" s="83">
        <f>AZ131*1.06</f>
        <v/>
      </c>
      <c r="BB131" s="24" t="n">
        <v>68981028</v>
      </c>
      <c r="BC131" s="24" t="n"/>
      <c r="BD131" s="24" t="n"/>
      <c r="BE131" s="24" t="n"/>
      <c r="BF131" s="20" t="n"/>
      <c r="BG131" s="20" t="n"/>
      <c r="BH131" s="24" t="n"/>
      <c r="BI131" s="24">
        <f>240*12</f>
        <v/>
      </c>
      <c r="BJ131" s="24" t="n"/>
      <c r="BK131" s="24" t="n"/>
      <c r="BL131" s="24" t="n"/>
      <c r="BM131" s="20" t="n"/>
      <c r="BN131" s="20" t="n"/>
      <c r="BO131" s="20" t="n"/>
      <c r="BP131" s="20" t="n"/>
      <c r="BQ131" s="20" t="n"/>
      <c r="BR131" s="20" t="n"/>
      <c r="BS131" s="20" t="n"/>
      <c r="BT131" s="20" t="n"/>
      <c r="BU131" s="20" t="n"/>
      <c r="BV131" s="20" t="n"/>
      <c r="BW131" s="20" t="n"/>
      <c r="BX131" s="20" t="n"/>
      <c r="BY131" s="20" t="n"/>
      <c r="BZ131" s="20" t="n"/>
      <c r="CA131" s="20" t="n"/>
      <c r="CB131" s="20" t="n"/>
      <c r="CC131" s="20" t="n"/>
      <c r="CD131" s="20" t="n"/>
      <c r="CE131" s="20" t="n"/>
      <c r="CF131" s="20" t="n"/>
      <c r="CG131" s="20" t="n"/>
      <c r="CH131" s="20" t="n"/>
      <c r="CI131" s="20" t="n"/>
      <c r="CJ131" s="20" t="n"/>
      <c r="CK131" s="20" t="n"/>
      <c r="CL131" s="20" t="n"/>
      <c r="CM131" s="20" t="n"/>
      <c r="CN131" s="20" t="n"/>
      <c r="CO131" s="20" t="n"/>
      <c r="CP131" s="20" t="n"/>
      <c r="CQ131" s="20" t="n"/>
      <c r="CR131" s="20" t="n"/>
      <c r="CS131" s="20" t="n"/>
      <c r="CT131" s="20" t="n"/>
      <c r="CU131" s="20" t="n"/>
      <c r="CV131" s="20" t="n"/>
      <c r="CW131" s="20" t="n"/>
      <c r="CX131" s="20" t="n"/>
      <c r="CY131" s="20" t="n"/>
      <c r="CZ131" s="20" t="n"/>
      <c r="DA131" s="20" t="n"/>
      <c r="DB131" s="20" t="n"/>
      <c r="DC131" s="20" t="n"/>
      <c r="DD131" s="20" t="n"/>
      <c r="DE131" s="20" t="n"/>
      <c r="DF131" s="20" t="n"/>
      <c r="DG131" s="20" t="n"/>
      <c r="DH131" s="20" t="n"/>
      <c r="DI131" s="20" t="n"/>
      <c r="DJ131" s="20" t="n"/>
      <c r="DK131" s="20" t="n"/>
      <c r="DL131" s="20" t="n"/>
      <c r="DM131" s="20" t="n"/>
      <c r="DN131" s="20" t="n"/>
      <c r="DO131" s="20" t="n"/>
      <c r="DP131" s="20" t="n"/>
      <c r="DQ131" s="20" t="n"/>
      <c r="DR131" s="20" t="n"/>
      <c r="DS131" s="20" t="n"/>
      <c r="DT131" s="20" t="n"/>
      <c r="DU131" s="20" t="n"/>
      <c r="DV131" s="24">
        <f>SUM(BC131:DS131)</f>
        <v/>
      </c>
      <c r="DW131" s="24">
        <f>DV131*AU131</f>
        <v/>
      </c>
      <c r="DX131" s="24">
        <f>DV131*AR131*AT131*AU131/12</f>
        <v/>
      </c>
      <c r="DY131" s="7">
        <f>DX131*AY131/1000</f>
        <v/>
      </c>
      <c r="DZ131" s="23">
        <f>DY131*1.07</f>
        <v/>
      </c>
      <c r="EA131" s="22">
        <f>IFERROR(DY131/AZ131,0)</f>
        <v/>
      </c>
      <c r="EB131" s="20" t="n"/>
      <c r="EC131" s="20" t="n"/>
      <c r="ED131" s="20" t="n"/>
      <c r="EE131" s="20">
        <f>IF(EB131&lt;&gt;"",EB131*ED131,0)</f>
        <v/>
      </c>
      <c r="EF131" s="20">
        <f>DV131-EE131</f>
        <v/>
      </c>
      <c r="EG131" s="20">
        <f>EF131*AU131</f>
        <v/>
      </c>
      <c r="EH131" s="20">
        <f>(EF131*AR131*AT131*AU131)/12</f>
        <v/>
      </c>
      <c r="EI131" s="20">
        <f>IFERROR(EH131/DV131,0)</f>
        <v/>
      </c>
      <c r="EJ131" s="20">
        <f>IFERROR(EH131*AY131/1000,0)</f>
        <v/>
      </c>
      <c r="EK131" s="20">
        <f>EJ131*1.07</f>
        <v/>
      </c>
      <c r="EL131" s="20" t="n"/>
      <c r="EM131" s="20" t="n"/>
    </row>
    <row r="132" ht="12.75" customHeight="1">
      <c r="A132" s="85" t="inlineStr">
        <is>
          <t>Lumber</t>
        </is>
      </c>
      <c r="B132" s="46" t="n">
        <v>77</v>
      </c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  <c r="AL132" s="20" t="n"/>
      <c r="AM132" s="20" t="n"/>
      <c r="AN132" s="20" t="n"/>
      <c r="AO132" s="20" t="n"/>
      <c r="AP132" s="20" t="n"/>
      <c r="AQ132" s="24">
        <f>SUM(B132,F132:AO132)</f>
        <v/>
      </c>
      <c r="AR132" s="30" t="n">
        <v>2</v>
      </c>
      <c r="AS132" s="29" t="inlineStr">
        <is>
          <t>x</t>
        </is>
      </c>
      <c r="AT132" s="30" t="n">
        <v>6</v>
      </c>
      <c r="AU132" s="30" t="n">
        <v>12</v>
      </c>
      <c r="AV132" s="80" t="inlineStr">
        <is>
          <t>SYP#2</t>
        </is>
      </c>
      <c r="AW132" s="24">
        <f>AQ132*AU132</f>
        <v/>
      </c>
      <c r="AX132" s="84">
        <f>(AQ132*AR132*AT132*AU132)/12</f>
        <v/>
      </c>
      <c r="AY132" s="62" t="n">
        <v>635</v>
      </c>
      <c r="AZ132" s="7">
        <f>(AX132*AY132)/1000</f>
        <v/>
      </c>
      <c r="BA132" s="83">
        <f>AZ132*1.06</f>
        <v/>
      </c>
      <c r="BB132" s="24" t="n">
        <v>68981024</v>
      </c>
      <c r="BC132" s="24" t="n"/>
      <c r="BD132" s="24" t="n"/>
      <c r="BE132" s="24" t="n"/>
      <c r="BF132" s="20" t="n"/>
      <c r="BG132" s="20" t="n"/>
      <c r="BH132" s="24" t="n"/>
      <c r="BI132" s="24" t="n">
        <v>77</v>
      </c>
      <c r="BJ132" s="24" t="n"/>
      <c r="BK132" s="24" t="n"/>
      <c r="BL132" s="24" t="n"/>
      <c r="BM132" s="20" t="n"/>
      <c r="BN132" s="20" t="n"/>
      <c r="BO132" s="20" t="n"/>
      <c r="BP132" s="20" t="n"/>
      <c r="BQ132" s="20" t="n"/>
      <c r="BR132" s="20" t="n"/>
      <c r="BS132" s="20" t="n"/>
      <c r="BT132" s="20" t="n"/>
      <c r="BU132" s="20" t="n"/>
      <c r="BV132" s="20" t="n"/>
      <c r="BW132" s="20" t="n"/>
      <c r="BX132" s="20" t="n"/>
      <c r="BY132" s="20" t="n"/>
      <c r="BZ132" s="20" t="n"/>
      <c r="CA132" s="20" t="n"/>
      <c r="CB132" s="20" t="n"/>
      <c r="CC132" s="20" t="n"/>
      <c r="CD132" s="20" t="n"/>
      <c r="CE132" s="20" t="n"/>
      <c r="CF132" s="20" t="n"/>
      <c r="CG132" s="20" t="n"/>
      <c r="CH132" s="20" t="n"/>
      <c r="CI132" s="20" t="n"/>
      <c r="CJ132" s="20" t="n"/>
      <c r="CK132" s="20" t="n"/>
      <c r="CL132" s="20" t="n"/>
      <c r="CM132" s="20" t="n"/>
      <c r="CN132" s="20" t="n"/>
      <c r="CO132" s="20" t="n"/>
      <c r="CP132" s="20" t="n"/>
      <c r="CQ132" s="20" t="n"/>
      <c r="CR132" s="20" t="n"/>
      <c r="CS132" s="20" t="n"/>
      <c r="CT132" s="20" t="n"/>
      <c r="CU132" s="20" t="n"/>
      <c r="CV132" s="20" t="n"/>
      <c r="CW132" s="20" t="n"/>
      <c r="CX132" s="20" t="n"/>
      <c r="CY132" s="20" t="n"/>
      <c r="CZ132" s="20" t="n"/>
      <c r="DA132" s="20" t="n"/>
      <c r="DB132" s="20" t="n"/>
      <c r="DC132" s="20" t="n"/>
      <c r="DD132" s="20" t="n"/>
      <c r="DE132" s="20" t="n"/>
      <c r="DF132" s="20" t="n"/>
      <c r="DG132" s="20" t="n"/>
      <c r="DH132" s="20" t="n"/>
      <c r="DI132" s="20" t="n"/>
      <c r="DJ132" s="20" t="n"/>
      <c r="DK132" s="20" t="n"/>
      <c r="DL132" s="20" t="n"/>
      <c r="DM132" s="20" t="n"/>
      <c r="DN132" s="20" t="n"/>
      <c r="DO132" s="20" t="n"/>
      <c r="DP132" s="20" t="n"/>
      <c r="DQ132" s="20" t="n"/>
      <c r="DR132" s="20" t="n"/>
      <c r="DS132" s="20" t="n"/>
      <c r="DT132" s="20" t="n"/>
      <c r="DU132" s="20" t="n"/>
      <c r="DV132" s="24">
        <f>SUM(BC132:DS132)</f>
        <v/>
      </c>
      <c r="DW132" s="24">
        <f>DV132*AU132</f>
        <v/>
      </c>
      <c r="DX132" s="24">
        <f>DV132*AR132*AT132*AU132/12</f>
        <v/>
      </c>
      <c r="DY132" s="7">
        <f>DX132*AY132/1000</f>
        <v/>
      </c>
      <c r="DZ132" s="23">
        <f>DY132*1.07</f>
        <v/>
      </c>
      <c r="EA132" s="22">
        <f>IFERROR(DY132/AZ132,0)</f>
        <v/>
      </c>
      <c r="EB132" s="20" t="n"/>
      <c r="EC132" s="20" t="n"/>
      <c r="ED132" s="20" t="n"/>
      <c r="EE132" s="20">
        <f>IF(EB132&lt;&gt;"",EB132*ED132,0)</f>
        <v/>
      </c>
      <c r="EF132" s="20">
        <f>DV132-EE132</f>
        <v/>
      </c>
      <c r="EG132" s="20">
        <f>EF132*AU132</f>
        <v/>
      </c>
      <c r="EH132" s="20">
        <f>(EF132*AR132*AT132*AU132)/12</f>
        <v/>
      </c>
      <c r="EI132" s="20">
        <f>IFERROR(EH132/DV132,0)</f>
        <v/>
      </c>
      <c r="EJ132" s="20">
        <f>IFERROR(EH132*AY132/1000,0)</f>
        <v/>
      </c>
      <c r="EK132" s="20">
        <f>EJ132*1.07</f>
        <v/>
      </c>
      <c r="EL132" s="20" t="n"/>
      <c r="EM132" s="20" t="n"/>
    </row>
    <row r="133" ht="12.75" customHeight="1">
      <c r="A133" s="85" t="inlineStr">
        <is>
          <t>Lumber</t>
        </is>
      </c>
      <c r="B133" s="46" t="n">
        <v>158</v>
      </c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0" t="n"/>
      <c r="AQ133" s="24">
        <f>SUM(B133,F133:AO133)</f>
        <v/>
      </c>
      <c r="AR133" s="30" t="n">
        <v>2</v>
      </c>
      <c r="AS133" s="29" t="inlineStr">
        <is>
          <t>x</t>
        </is>
      </c>
      <c r="AT133" s="30" t="n">
        <v>8</v>
      </c>
      <c r="AU133" s="30" t="n">
        <v>1</v>
      </c>
      <c r="AV133" s="80" t="inlineStr">
        <is>
          <t>SYP#2</t>
        </is>
      </c>
      <c r="AW133" s="24">
        <f>AQ133*AU133</f>
        <v/>
      </c>
      <c r="AX133" s="84">
        <f>(AQ133*AR133*AT133*AU133)/12</f>
        <v/>
      </c>
      <c r="AY133" s="62" t="n">
        <v>655</v>
      </c>
      <c r="AZ133" s="7">
        <f>(AX133*AY133)/1000</f>
        <v/>
      </c>
      <c r="BA133" s="83">
        <f>AZ133*1.06</f>
        <v/>
      </c>
      <c r="BB133" s="20" t="n"/>
      <c r="BC133" s="20" t="n"/>
      <c r="BD133" s="20" t="n"/>
      <c r="BE133" s="20" t="n"/>
      <c r="BF133" s="20" t="n"/>
      <c r="BG133" s="20" t="n"/>
      <c r="BH133" s="24" t="n"/>
      <c r="BI133" s="24" t="n"/>
      <c r="BJ133" s="24" t="n"/>
      <c r="BK133" s="24" t="n"/>
      <c r="BL133" s="24" t="n"/>
      <c r="BM133" s="20" t="n"/>
      <c r="BN133" s="20" t="n"/>
      <c r="BO133" s="20" t="n"/>
      <c r="BP133" s="20" t="n"/>
      <c r="BQ133" s="20" t="n"/>
      <c r="BR133" s="20" t="n"/>
      <c r="BS133" s="20" t="n"/>
      <c r="BT133" s="20" t="n"/>
      <c r="BU133" s="20" t="n"/>
      <c r="BV133" s="20" t="n"/>
      <c r="BW133" s="20" t="n"/>
      <c r="BX133" s="20" t="n"/>
      <c r="BY133" s="20" t="n"/>
      <c r="BZ133" s="20" t="n"/>
      <c r="CA133" s="20" t="n"/>
      <c r="CB133" s="20" t="n"/>
      <c r="CC133" s="20" t="n"/>
      <c r="CD133" s="20" t="n"/>
      <c r="CE133" s="20" t="n"/>
      <c r="CF133" s="20" t="n"/>
      <c r="CG133" s="20" t="n"/>
      <c r="CH133" s="20" t="n"/>
      <c r="CI133" s="20" t="n"/>
      <c r="CJ133" s="20" t="n"/>
      <c r="CK133" s="20" t="n"/>
      <c r="CL133" s="20" t="n"/>
      <c r="CM133" s="20" t="n"/>
      <c r="CN133" s="20" t="n"/>
      <c r="CO133" s="20" t="n"/>
      <c r="CP133" s="20" t="n"/>
      <c r="CQ133" s="20" t="n"/>
      <c r="CR133" s="20" t="n"/>
      <c r="CS133" s="20" t="n"/>
      <c r="CT133" s="20" t="n"/>
      <c r="CU133" s="20" t="n"/>
      <c r="CV133" s="20" t="n"/>
      <c r="CW133" s="20" t="n"/>
      <c r="CX133" s="20" t="n"/>
      <c r="CY133" s="20" t="n"/>
      <c r="CZ133" s="20" t="n"/>
      <c r="DA133" s="20" t="n"/>
      <c r="DB133" s="20" t="n"/>
      <c r="DC133" s="20" t="n"/>
      <c r="DD133" s="20" t="n"/>
      <c r="DE133" s="20" t="n"/>
      <c r="DF133" s="20" t="n"/>
      <c r="DG133" s="20" t="n"/>
      <c r="DH133" s="20" t="n"/>
      <c r="DI133" s="20" t="n"/>
      <c r="DJ133" s="20" t="n"/>
      <c r="DK133" s="20" t="n"/>
      <c r="DL133" s="20" t="n"/>
      <c r="DM133" s="20" t="n"/>
      <c r="DN133" s="20" t="n"/>
      <c r="DO133" s="20" t="n"/>
      <c r="DP133" s="20" t="n"/>
      <c r="DQ133" s="20" t="n"/>
      <c r="DR133" s="20" t="n"/>
      <c r="DS133" s="20" t="n"/>
      <c r="DT133" s="20" t="n"/>
      <c r="DU133" s="20" t="n"/>
      <c r="DV133" s="24">
        <f>SUM(BC133:DS133)</f>
        <v/>
      </c>
      <c r="DW133" s="24">
        <f>DV133*AU133</f>
        <v/>
      </c>
      <c r="DX133" s="24">
        <f>DV133*AR133*AT133*AU133/12</f>
        <v/>
      </c>
      <c r="DY133" s="7">
        <f>DX133*AY133/1000</f>
        <v/>
      </c>
      <c r="DZ133" s="23">
        <f>DY133*1.07</f>
        <v/>
      </c>
      <c r="EA133" s="22">
        <f>IFERROR(DY133/AZ133,0)</f>
        <v/>
      </c>
      <c r="EB133" s="20" t="n"/>
      <c r="EC133" s="20" t="n"/>
      <c r="ED133" s="20" t="n"/>
      <c r="EE133" s="20">
        <f>IF(EB133&lt;&gt;"",EB133*ED133,0)</f>
        <v/>
      </c>
      <c r="EF133" s="20">
        <f>DV133-EE133</f>
        <v/>
      </c>
      <c r="EG133" s="20">
        <f>EF133*AU133</f>
        <v/>
      </c>
      <c r="EH133" s="20">
        <f>(EF133*AR133*AT133*AU133)/12</f>
        <v/>
      </c>
      <c r="EI133" s="20">
        <f>IFERROR(EH133/DV133,0)</f>
        <v/>
      </c>
      <c r="EJ133" s="20">
        <f>IFERROR(EH133*AY133/1000,0)</f>
        <v/>
      </c>
      <c r="EK133" s="20">
        <f>EJ133*1.07</f>
        <v/>
      </c>
      <c r="EL133" s="20" t="n"/>
      <c r="EM133" s="20" t="n"/>
    </row>
    <row r="134" ht="13.15" customHeight="1">
      <c r="A134" s="85" t="inlineStr">
        <is>
          <t>Lumber</t>
        </is>
      </c>
      <c r="B134" s="46" t="n">
        <v>762</v>
      </c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n"/>
      <c r="AG134" s="20" t="n"/>
      <c r="AH134" s="20" t="n"/>
      <c r="AI134" s="20" t="n"/>
      <c r="AJ134" s="20" t="n"/>
      <c r="AK134" s="20" t="n"/>
      <c r="AL134" s="20" t="n"/>
      <c r="AM134" s="20" t="n"/>
      <c r="AN134" s="20" t="n"/>
      <c r="AO134" s="20" t="n"/>
      <c r="AP134" s="20" t="n"/>
      <c r="AQ134" s="24">
        <f>SUM(B134,F134:AO134)</f>
        <v/>
      </c>
      <c r="AR134" s="30" t="n">
        <v>2</v>
      </c>
      <c r="AS134" s="29" t="inlineStr">
        <is>
          <t>x</t>
        </is>
      </c>
      <c r="AT134" s="30" t="n">
        <v>10</v>
      </c>
      <c r="AU134" s="30" t="n">
        <v>1</v>
      </c>
      <c r="AV134" s="80" t="inlineStr">
        <is>
          <t>SYP#2</t>
        </is>
      </c>
      <c r="AW134" s="24">
        <f>AQ134*AU134</f>
        <v/>
      </c>
      <c r="AX134" s="84">
        <f>(AQ134*AR134*AT134*AU134)/12</f>
        <v/>
      </c>
      <c r="AY134" s="62" t="n">
        <v>655</v>
      </c>
      <c r="AZ134" s="7">
        <f>(AX134*AY134)/1000</f>
        <v/>
      </c>
      <c r="BA134" s="83">
        <f>AZ134*1.06</f>
        <v/>
      </c>
      <c r="BB134" s="53" t="n">
        <v>68981017</v>
      </c>
      <c r="BC134" s="24" t="n"/>
      <c r="BD134" s="24" t="n"/>
      <c r="BE134" s="24" t="n"/>
      <c r="BF134" s="20" t="n"/>
      <c r="BG134" s="20" t="n"/>
      <c r="BH134" s="24">
        <f>80*10</f>
        <v/>
      </c>
      <c r="BI134" s="24" t="n"/>
      <c r="BJ134" s="24" t="n"/>
      <c r="BK134" s="24" t="n"/>
      <c r="BL134" s="24" t="n"/>
      <c r="BM134" s="20" t="n"/>
      <c r="BN134" s="20" t="n"/>
      <c r="BO134" s="20" t="n"/>
      <c r="BP134" s="20" t="n"/>
      <c r="BQ134" s="20" t="n"/>
      <c r="BR134" s="20" t="n"/>
      <c r="BS134" s="20" t="n"/>
      <c r="BT134" s="20" t="n"/>
      <c r="BU134" s="20" t="n"/>
      <c r="BV134" s="20" t="n"/>
      <c r="BW134" s="20" t="n"/>
      <c r="BX134" s="20" t="n"/>
      <c r="BY134" s="20" t="n"/>
      <c r="BZ134" s="20" t="n"/>
      <c r="CA134" s="20" t="n"/>
      <c r="CB134" s="20" t="n"/>
      <c r="CC134" s="20" t="n"/>
      <c r="CD134" s="20" t="n"/>
      <c r="CE134" s="20" t="n"/>
      <c r="CF134" s="20" t="n"/>
      <c r="CG134" s="20" t="n"/>
      <c r="CH134" s="20" t="n"/>
      <c r="CI134" s="20" t="n"/>
      <c r="CJ134" s="20" t="n"/>
      <c r="CK134" s="20" t="n"/>
      <c r="CL134" s="20" t="n"/>
      <c r="CM134" s="20" t="n"/>
      <c r="CN134" s="20" t="n"/>
      <c r="CO134" s="20" t="n"/>
      <c r="CP134" s="20" t="n"/>
      <c r="CQ134" s="20" t="n"/>
      <c r="CR134" s="20" t="n"/>
      <c r="CS134" s="20" t="n"/>
      <c r="CT134" s="20" t="n"/>
      <c r="CU134" s="20" t="n"/>
      <c r="CV134" s="20" t="n"/>
      <c r="CW134" s="20" t="n"/>
      <c r="CX134" s="20" t="n"/>
      <c r="CY134" s="20" t="n"/>
      <c r="CZ134" s="20" t="n"/>
      <c r="DA134" s="20" t="n"/>
      <c r="DB134" s="20" t="n"/>
      <c r="DC134" s="20" t="n"/>
      <c r="DD134" s="20" t="n"/>
      <c r="DE134" s="20" t="n"/>
      <c r="DF134" s="20" t="n"/>
      <c r="DG134" s="20" t="n"/>
      <c r="DH134" s="20" t="n"/>
      <c r="DI134" s="20" t="n"/>
      <c r="DJ134" s="20" t="n"/>
      <c r="DK134" s="20" t="n"/>
      <c r="DL134" s="20" t="n"/>
      <c r="DM134" s="20" t="n"/>
      <c r="DN134" s="20" t="n"/>
      <c r="DO134" s="20" t="n"/>
      <c r="DP134" s="20" t="n"/>
      <c r="DQ134" s="20" t="n"/>
      <c r="DR134" s="20" t="n"/>
      <c r="DS134" s="20" t="n"/>
      <c r="DT134" s="20" t="n"/>
      <c r="DU134" s="20" t="n"/>
      <c r="DV134" s="24">
        <f>SUM(BC134:DS134)</f>
        <v/>
      </c>
      <c r="DW134" s="24">
        <f>DV134*AU134</f>
        <v/>
      </c>
      <c r="DX134" s="86">
        <f>DV134*AR134*AT134*AU134/12</f>
        <v/>
      </c>
      <c r="DY134" s="7">
        <f>DX134*AY134/1000</f>
        <v/>
      </c>
      <c r="DZ134" s="23">
        <f>DY134*1.07</f>
        <v/>
      </c>
      <c r="EA134" s="22">
        <f>IFERROR(DY134/AZ134,0)</f>
        <v/>
      </c>
      <c r="EB134" s="20" t="n"/>
      <c r="EC134" s="20" t="n"/>
      <c r="ED134" s="20" t="n"/>
      <c r="EE134" s="20">
        <f>IF(EB134&lt;&gt;"",EB134*ED134,0)</f>
        <v/>
      </c>
      <c r="EF134" s="20">
        <f>DV134-EE134</f>
        <v/>
      </c>
      <c r="EG134" s="20">
        <f>EF134*AU134</f>
        <v/>
      </c>
      <c r="EH134" s="20">
        <f>(EF134*AR134*AT134*AU134)/12</f>
        <v/>
      </c>
      <c r="EI134" s="20">
        <f>IFERROR(EH134/DV134,0)</f>
        <v/>
      </c>
      <c r="EJ134" s="20">
        <f>IFERROR(EH134*AY134/1000,0)</f>
        <v/>
      </c>
      <c r="EK134" s="20">
        <f>EJ134*1.07</f>
        <v/>
      </c>
      <c r="EL134" s="20" t="n"/>
      <c r="EM134" s="20" t="n"/>
    </row>
    <row r="135" ht="12.75" customHeight="1">
      <c r="A135" s="85" t="inlineStr">
        <is>
          <t>Lumber</t>
        </is>
      </c>
      <c r="B135" s="46" t="n">
        <v>114</v>
      </c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0" t="n"/>
      <c r="AQ135" s="24">
        <f>SUM(B135,F135:AO135)</f>
        <v/>
      </c>
      <c r="AR135" s="30" t="n">
        <v>2</v>
      </c>
      <c r="AS135" s="29" t="inlineStr">
        <is>
          <t>x</t>
        </is>
      </c>
      <c r="AT135" s="30" t="n">
        <v>10</v>
      </c>
      <c r="AU135" s="30" t="n">
        <v>8</v>
      </c>
      <c r="AV135" s="80" t="inlineStr">
        <is>
          <t>SYP#2</t>
        </is>
      </c>
      <c r="AW135" s="24">
        <f>AQ135*AU135</f>
        <v/>
      </c>
      <c r="AX135" s="84">
        <f>(AQ135*AR135*AT135*AU135)/12</f>
        <v/>
      </c>
      <c r="AY135" s="62" t="n">
        <v>655</v>
      </c>
      <c r="AZ135" s="7">
        <f>(AX135*AY135)/1000</f>
        <v/>
      </c>
      <c r="BA135" s="83">
        <f>AZ135*1.06</f>
        <v/>
      </c>
      <c r="BB135" s="20" t="n"/>
      <c r="BC135" s="20" t="n"/>
      <c r="BD135" s="20" t="n"/>
      <c r="BE135" s="20" t="n"/>
      <c r="BF135" s="20" t="n"/>
      <c r="BG135" s="20" t="n"/>
      <c r="BH135" s="24" t="n"/>
      <c r="BI135" s="24" t="n"/>
      <c r="BJ135" s="24" t="n"/>
      <c r="BK135" s="24" t="n"/>
      <c r="BL135" s="24" t="n"/>
      <c r="BM135" s="20" t="n"/>
      <c r="BN135" s="20" t="n"/>
      <c r="BO135" s="20" t="n"/>
      <c r="BP135" s="20" t="n"/>
      <c r="BQ135" s="20" t="n"/>
      <c r="BR135" s="20" t="n"/>
      <c r="BS135" s="20" t="n"/>
      <c r="BT135" s="20" t="n"/>
      <c r="BU135" s="20" t="n"/>
      <c r="BV135" s="20" t="n"/>
      <c r="BW135" s="20" t="n"/>
      <c r="BX135" s="20" t="n"/>
      <c r="BY135" s="20" t="n"/>
      <c r="BZ135" s="20" t="n"/>
      <c r="CA135" s="20" t="n"/>
      <c r="CB135" s="20" t="n"/>
      <c r="CC135" s="20" t="n"/>
      <c r="CD135" s="20" t="n"/>
      <c r="CE135" s="20" t="n"/>
      <c r="CF135" s="20" t="n"/>
      <c r="CG135" s="20" t="n"/>
      <c r="CH135" s="20" t="n"/>
      <c r="CI135" s="20" t="n"/>
      <c r="CJ135" s="20" t="n"/>
      <c r="CK135" s="20" t="n"/>
      <c r="CL135" s="20" t="n"/>
      <c r="CM135" s="20" t="n"/>
      <c r="CN135" s="20" t="n"/>
      <c r="CO135" s="20" t="n"/>
      <c r="CP135" s="20" t="n"/>
      <c r="CQ135" s="20" t="n"/>
      <c r="CR135" s="20" t="n"/>
      <c r="CS135" s="20" t="n"/>
      <c r="CT135" s="20" t="n"/>
      <c r="CU135" s="20" t="n"/>
      <c r="CV135" s="20" t="n"/>
      <c r="CW135" s="20" t="n"/>
      <c r="CX135" s="20" t="n"/>
      <c r="CY135" s="20" t="n"/>
      <c r="CZ135" s="20" t="n"/>
      <c r="DA135" s="20" t="n"/>
      <c r="DB135" s="20" t="n"/>
      <c r="DC135" s="20" t="n"/>
      <c r="DD135" s="20" t="n"/>
      <c r="DE135" s="20" t="n"/>
      <c r="DF135" s="20" t="n"/>
      <c r="DG135" s="20" t="n"/>
      <c r="DH135" s="20" t="n"/>
      <c r="DI135" s="20" t="n"/>
      <c r="DJ135" s="20" t="n"/>
      <c r="DK135" s="20" t="n"/>
      <c r="DL135" s="20" t="n"/>
      <c r="DM135" s="20" t="n"/>
      <c r="DN135" s="20" t="n"/>
      <c r="DO135" s="20" t="n"/>
      <c r="DP135" s="20" t="n"/>
      <c r="DQ135" s="20" t="n"/>
      <c r="DR135" s="20" t="n"/>
      <c r="DS135" s="20" t="n"/>
      <c r="DT135" s="20" t="n"/>
      <c r="DU135" s="20" t="n"/>
      <c r="DV135" s="24">
        <f>SUM(BC135:DS135)</f>
        <v/>
      </c>
      <c r="DW135" s="24">
        <f>DV135*AU135</f>
        <v/>
      </c>
      <c r="DX135" s="24">
        <f>DV135*AR135*AT135*AU135/12</f>
        <v/>
      </c>
      <c r="DY135" s="7">
        <f>DX135*AY135/1000</f>
        <v/>
      </c>
      <c r="DZ135" s="23">
        <f>DY135*1.07</f>
        <v/>
      </c>
      <c r="EA135" s="22">
        <f>IFERROR(DY135/AZ135,0)</f>
        <v/>
      </c>
      <c r="EB135" s="20" t="n"/>
      <c r="EC135" s="20" t="n"/>
      <c r="ED135" s="20" t="n"/>
      <c r="EE135" s="20">
        <f>IF(EB135&lt;&gt;"",EB135*ED135,0)</f>
        <v/>
      </c>
      <c r="EF135" s="20">
        <f>DV135-EE135</f>
        <v/>
      </c>
      <c r="EG135" s="20">
        <f>EF135*AU135</f>
        <v/>
      </c>
      <c r="EH135" s="20">
        <f>(EF135*AR135*AT135*AU135)/12</f>
        <v/>
      </c>
      <c r="EI135" s="20">
        <f>IFERROR(EH135/DV135,0)</f>
        <v/>
      </c>
      <c r="EJ135" s="20">
        <f>IFERROR(EH135*AY135/1000,0)</f>
        <v/>
      </c>
      <c r="EK135" s="20">
        <f>EJ135*1.07</f>
        <v/>
      </c>
      <c r="EL135" s="20" t="n"/>
      <c r="EM135" s="20" t="n"/>
    </row>
    <row r="136" ht="12.75" customHeight="1">
      <c r="A136" s="85" t="inlineStr">
        <is>
          <t>Lumber</t>
        </is>
      </c>
      <c r="B136" s="46" t="n">
        <v>47</v>
      </c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0" t="n"/>
      <c r="AM136" s="20" t="n"/>
      <c r="AN136" s="20" t="n"/>
      <c r="AO136" s="20" t="n"/>
      <c r="AP136" s="20" t="n"/>
      <c r="AQ136" s="24">
        <f>SUM(B136,F136:AO136)</f>
        <v/>
      </c>
      <c r="AR136" s="30" t="n">
        <v>2</v>
      </c>
      <c r="AS136" s="29" t="inlineStr">
        <is>
          <t>x</t>
        </is>
      </c>
      <c r="AT136" s="30" t="n">
        <v>10</v>
      </c>
      <c r="AU136" s="30" t="n">
        <v>12</v>
      </c>
      <c r="AV136" s="80" t="inlineStr">
        <is>
          <t>SYP#2</t>
        </is>
      </c>
      <c r="AW136" s="24">
        <f>AQ136*AU136</f>
        <v/>
      </c>
      <c r="AX136" s="84">
        <f>(AQ136*AR136*AT136*AU136)/12</f>
        <v/>
      </c>
      <c r="AY136" s="62" t="n">
        <v>655</v>
      </c>
      <c r="AZ136" s="7">
        <f>(AX136*AY136)/1000</f>
        <v/>
      </c>
      <c r="BA136" s="83">
        <f>AZ136*1.06</f>
        <v/>
      </c>
      <c r="BB136" s="24" t="n">
        <v>68981014</v>
      </c>
      <c r="BC136" s="24" t="n"/>
      <c r="BD136" s="24" t="n"/>
      <c r="BE136" s="24" t="n"/>
      <c r="BF136" s="20" t="n"/>
      <c r="BG136" s="20" t="n"/>
      <c r="BH136" s="24" t="n"/>
      <c r="BI136" s="24" t="n">
        <v>47</v>
      </c>
      <c r="BJ136" s="24" t="n"/>
      <c r="BK136" s="24" t="n"/>
      <c r="BL136" s="24" t="n"/>
      <c r="BM136" s="20" t="n"/>
      <c r="BN136" s="20" t="n"/>
      <c r="BO136" s="20" t="n"/>
      <c r="BP136" s="20" t="n"/>
      <c r="BQ136" s="20" t="n"/>
      <c r="BR136" s="20" t="n"/>
      <c r="BS136" s="20" t="n"/>
      <c r="BT136" s="20" t="n"/>
      <c r="BU136" s="20" t="n"/>
      <c r="BV136" s="20" t="n"/>
      <c r="BW136" s="20" t="n"/>
      <c r="BX136" s="20" t="n"/>
      <c r="BY136" s="20" t="n"/>
      <c r="BZ136" s="20" t="n"/>
      <c r="CA136" s="20" t="n"/>
      <c r="CB136" s="20" t="n"/>
      <c r="CC136" s="20" t="n"/>
      <c r="CD136" s="20" t="n"/>
      <c r="CE136" s="20" t="n"/>
      <c r="CF136" s="20" t="n"/>
      <c r="CG136" s="20" t="n"/>
      <c r="CH136" s="20" t="n"/>
      <c r="CI136" s="20" t="n"/>
      <c r="CJ136" s="20" t="n"/>
      <c r="CK136" s="20" t="n"/>
      <c r="CL136" s="20" t="n"/>
      <c r="CM136" s="20" t="n"/>
      <c r="CN136" s="20" t="n"/>
      <c r="CO136" s="20" t="n"/>
      <c r="CP136" s="20" t="n"/>
      <c r="CQ136" s="20" t="n"/>
      <c r="CR136" s="20" t="n"/>
      <c r="CS136" s="20" t="n"/>
      <c r="CT136" s="20" t="n"/>
      <c r="CU136" s="20" t="n"/>
      <c r="CV136" s="20" t="n"/>
      <c r="CW136" s="20" t="n"/>
      <c r="CX136" s="20" t="n"/>
      <c r="CY136" s="20" t="n"/>
      <c r="CZ136" s="20" t="n"/>
      <c r="DA136" s="20" t="n"/>
      <c r="DB136" s="20" t="n"/>
      <c r="DC136" s="20" t="n"/>
      <c r="DD136" s="20" t="n"/>
      <c r="DE136" s="20" t="n"/>
      <c r="DF136" s="20" t="n"/>
      <c r="DG136" s="20" t="n"/>
      <c r="DH136" s="20" t="n"/>
      <c r="DI136" s="20" t="n"/>
      <c r="DJ136" s="20" t="n"/>
      <c r="DK136" s="20" t="n"/>
      <c r="DL136" s="20" t="n"/>
      <c r="DM136" s="20" t="n"/>
      <c r="DN136" s="20" t="n"/>
      <c r="DO136" s="20" t="n"/>
      <c r="DP136" s="20" t="n"/>
      <c r="DQ136" s="20" t="n"/>
      <c r="DR136" s="20" t="n"/>
      <c r="DS136" s="20" t="n"/>
      <c r="DT136" s="20" t="n"/>
      <c r="DU136" s="20" t="n"/>
      <c r="DV136" s="24">
        <f>SUM(BC136:DS136)</f>
        <v/>
      </c>
      <c r="DW136" s="24">
        <f>DV136*AU136</f>
        <v/>
      </c>
      <c r="DX136" s="24">
        <f>DV136*AR136*AT136*AU136/12</f>
        <v/>
      </c>
      <c r="DY136" s="7">
        <f>DX136*AY136/1000</f>
        <v/>
      </c>
      <c r="DZ136" s="23">
        <f>DY136*1.07</f>
        <v/>
      </c>
      <c r="EA136" s="22">
        <f>IFERROR(DY136/AZ136,0)</f>
        <v/>
      </c>
      <c r="EB136" s="20" t="n"/>
      <c r="EC136" s="20" t="n"/>
      <c r="ED136" s="20" t="n"/>
      <c r="EE136" s="20">
        <f>IF(EB136&lt;&gt;"",EB136*ED136,0)</f>
        <v/>
      </c>
      <c r="EF136" s="20">
        <f>DV136-EE136</f>
        <v/>
      </c>
      <c r="EG136" s="20">
        <f>EF136*AU136</f>
        <v/>
      </c>
      <c r="EH136" s="20">
        <f>(EF136*AR136*AT136*AU136)/12</f>
        <v/>
      </c>
      <c r="EI136" s="20">
        <f>IFERROR(EH136/DV136,0)</f>
        <v/>
      </c>
      <c r="EJ136" s="20">
        <f>IFERROR(EH136*AY136/1000,0)</f>
        <v/>
      </c>
      <c r="EK136" s="20">
        <f>EJ136*1.07</f>
        <v/>
      </c>
      <c r="EL136" s="20" t="n"/>
      <c r="EM136" s="20" t="n"/>
    </row>
    <row r="137" ht="13.15" customHeight="1">
      <c r="A137" s="85" t="inlineStr">
        <is>
          <t>Lumber</t>
        </is>
      </c>
      <c r="B137" s="46" t="n">
        <v>63</v>
      </c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0" t="n"/>
      <c r="AQ137" s="24">
        <f>SUM(B137,F137:AO137)</f>
        <v/>
      </c>
      <c r="AR137" s="30" t="n">
        <v>2</v>
      </c>
      <c r="AS137" s="29" t="inlineStr">
        <is>
          <t>x</t>
        </is>
      </c>
      <c r="AT137" s="30" t="n">
        <v>12</v>
      </c>
      <c r="AU137" s="30" t="n">
        <v>1</v>
      </c>
      <c r="AV137" s="80" t="inlineStr">
        <is>
          <t>SYP#2</t>
        </is>
      </c>
      <c r="AW137" s="24">
        <f>AQ137*AU137</f>
        <v/>
      </c>
      <c r="AX137" s="84">
        <f>(AQ137*AR137*AT137*AU137)/12</f>
        <v/>
      </c>
      <c r="AY137" s="62" t="n">
        <v>715</v>
      </c>
      <c r="AZ137" s="7">
        <f>(AX137*AY137)/1000</f>
        <v/>
      </c>
      <c r="BA137" s="83">
        <f>AZ137*1.06</f>
        <v/>
      </c>
      <c r="BB137" s="53" t="n">
        <v>68981017</v>
      </c>
      <c r="BC137" s="24" t="n"/>
      <c r="BD137" s="24" t="n"/>
      <c r="BE137" s="24" t="n"/>
      <c r="BF137" s="24" t="n"/>
      <c r="BG137" s="24" t="n"/>
      <c r="BH137" s="24">
        <f>6*12</f>
        <v/>
      </c>
      <c r="BI137" s="24" t="n"/>
      <c r="BJ137" s="24" t="n"/>
      <c r="BK137" s="24" t="n"/>
      <c r="BL137" s="24" t="n"/>
      <c r="BM137" s="20" t="n"/>
      <c r="BN137" s="20" t="n"/>
      <c r="BO137" s="20" t="n"/>
      <c r="BP137" s="20" t="n"/>
      <c r="BQ137" s="20" t="n"/>
      <c r="BR137" s="20" t="n"/>
      <c r="BS137" s="20" t="n"/>
      <c r="BT137" s="20" t="n"/>
      <c r="BU137" s="20" t="n"/>
      <c r="BV137" s="20" t="n"/>
      <c r="BW137" s="20" t="n"/>
      <c r="BX137" s="20" t="n"/>
      <c r="BY137" s="20" t="n"/>
      <c r="BZ137" s="20" t="n"/>
      <c r="CA137" s="20" t="n"/>
      <c r="CB137" s="20" t="n"/>
      <c r="CC137" s="20" t="n"/>
      <c r="CD137" s="20" t="n"/>
      <c r="CE137" s="20" t="n"/>
      <c r="CF137" s="20" t="n"/>
      <c r="CG137" s="20" t="n"/>
      <c r="CH137" s="20" t="n"/>
      <c r="CI137" s="20" t="n"/>
      <c r="CJ137" s="20" t="n"/>
      <c r="CK137" s="20" t="n"/>
      <c r="CL137" s="20" t="n"/>
      <c r="CM137" s="20" t="n"/>
      <c r="CN137" s="20" t="n"/>
      <c r="CO137" s="20" t="n"/>
      <c r="CP137" s="20" t="n"/>
      <c r="CQ137" s="20" t="n"/>
      <c r="CR137" s="20" t="n"/>
      <c r="CS137" s="20" t="n"/>
      <c r="CT137" s="20" t="n"/>
      <c r="CU137" s="20" t="n"/>
      <c r="CV137" s="20" t="n"/>
      <c r="CW137" s="20" t="n"/>
      <c r="CX137" s="20" t="n"/>
      <c r="CY137" s="20" t="n"/>
      <c r="CZ137" s="20" t="n"/>
      <c r="DA137" s="20" t="n"/>
      <c r="DB137" s="20" t="n"/>
      <c r="DC137" s="20" t="n"/>
      <c r="DD137" s="20" t="n"/>
      <c r="DE137" s="20" t="n"/>
      <c r="DF137" s="20" t="n"/>
      <c r="DG137" s="20" t="n"/>
      <c r="DH137" s="20" t="n"/>
      <c r="DI137" s="20" t="n"/>
      <c r="DJ137" s="20" t="n"/>
      <c r="DK137" s="20" t="n"/>
      <c r="DL137" s="20" t="n"/>
      <c r="DM137" s="20" t="n"/>
      <c r="DN137" s="20" t="n"/>
      <c r="DO137" s="20" t="n"/>
      <c r="DP137" s="20" t="n"/>
      <c r="DQ137" s="20" t="n"/>
      <c r="DR137" s="20" t="n"/>
      <c r="DS137" s="20" t="n"/>
      <c r="DT137" s="20" t="n"/>
      <c r="DU137" s="20" t="n"/>
      <c r="DV137" s="24">
        <f>SUM(BC137:DS137)</f>
        <v/>
      </c>
      <c r="DW137" s="24">
        <f>DV137*AU137</f>
        <v/>
      </c>
      <c r="DX137" s="24">
        <f>DV137*AR137*AT137*AU137/12</f>
        <v/>
      </c>
      <c r="DY137" s="7">
        <f>DX137*AY137/1000</f>
        <v/>
      </c>
      <c r="DZ137" s="23">
        <f>DY137*1.07</f>
        <v/>
      </c>
      <c r="EA137" s="22">
        <f>IFERROR(DY137/AZ137,0)</f>
        <v/>
      </c>
      <c r="EB137" s="20" t="n"/>
      <c r="EC137" s="20" t="n"/>
      <c r="ED137" s="20" t="n"/>
      <c r="EE137" s="20">
        <f>IF(EB137&lt;&gt;"",EB137*ED137,0)</f>
        <v/>
      </c>
      <c r="EF137" s="20">
        <f>DV137-EE137</f>
        <v/>
      </c>
      <c r="EG137" s="20">
        <f>EF137*AU137</f>
        <v/>
      </c>
      <c r="EH137" s="20">
        <f>(EF137*AR137*AT137*AU137)/12</f>
        <v/>
      </c>
      <c r="EI137" s="20">
        <f>IFERROR(EH137/DV137,0)</f>
        <v/>
      </c>
      <c r="EJ137" s="20">
        <f>IFERROR(EH137*AY137/1000,0)</f>
        <v/>
      </c>
      <c r="EK137" s="20">
        <f>EJ137*1.07</f>
        <v/>
      </c>
      <c r="EL137" s="20" t="n"/>
      <c r="EM137" s="20" t="n"/>
    </row>
    <row r="138" ht="12.75" customHeight="1">
      <c r="A138" s="85" t="inlineStr">
        <is>
          <t>Lumber</t>
        </is>
      </c>
      <c r="B138" s="46" t="n">
        <v>131</v>
      </c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n"/>
      <c r="AG138" s="20" t="n"/>
      <c r="AH138" s="20" t="n"/>
      <c r="AI138" s="20" t="n"/>
      <c r="AJ138" s="20" t="n"/>
      <c r="AK138" s="20" t="n"/>
      <c r="AL138" s="20" t="n"/>
      <c r="AM138" s="20" t="n"/>
      <c r="AN138" s="20" t="n"/>
      <c r="AO138" s="20" t="n"/>
      <c r="AP138" s="20" t="n"/>
      <c r="AQ138" s="24">
        <f>SUM(B138,F138:AO138)</f>
        <v/>
      </c>
      <c r="AR138" s="30" t="n">
        <v>2</v>
      </c>
      <c r="AS138" s="29" t="inlineStr">
        <is>
          <t>x</t>
        </is>
      </c>
      <c r="AT138" s="30" t="n">
        <v>4</v>
      </c>
      <c r="AU138" s="30" t="n">
        <v>16</v>
      </c>
      <c r="AV138" s="80" t="inlineStr">
        <is>
          <t>SYP#2 PET</t>
        </is>
      </c>
      <c r="AW138" s="24">
        <f>AQ138*AU138</f>
        <v/>
      </c>
      <c r="AX138" s="84">
        <f>(AQ138*AR138*AT138*AU138)/12</f>
        <v/>
      </c>
      <c r="AY138" s="62" t="n">
        <v>635</v>
      </c>
      <c r="AZ138" s="7">
        <f>(AX138*AY138)/1000</f>
        <v/>
      </c>
      <c r="BA138" s="83">
        <f>AZ138*1.06</f>
        <v/>
      </c>
      <c r="BB138" s="24" t="n"/>
      <c r="BC138" s="24" t="n"/>
      <c r="BD138" s="24" t="n"/>
      <c r="BE138" s="24" t="n"/>
      <c r="BF138" s="20" t="n"/>
      <c r="BG138" s="20" t="n"/>
      <c r="BH138" s="24" t="n"/>
      <c r="BI138" s="24" t="n"/>
      <c r="BJ138" s="24" t="n"/>
      <c r="BK138" s="24" t="n"/>
      <c r="BL138" s="24" t="n"/>
      <c r="BM138" s="20" t="n"/>
      <c r="BN138" s="20" t="n"/>
      <c r="BO138" s="20" t="n"/>
      <c r="BP138" s="20" t="n"/>
      <c r="BQ138" s="20" t="n"/>
      <c r="BR138" s="20" t="n"/>
      <c r="BS138" s="20" t="n"/>
      <c r="BT138" s="20" t="n"/>
      <c r="BU138" s="20" t="n"/>
      <c r="BV138" s="20" t="n"/>
      <c r="BW138" s="20" t="n"/>
      <c r="BX138" s="20" t="n"/>
      <c r="BY138" s="20" t="n"/>
      <c r="BZ138" s="20" t="n"/>
      <c r="CA138" s="20" t="n"/>
      <c r="CB138" s="20" t="n"/>
      <c r="CC138" s="20" t="n"/>
      <c r="CD138" s="20" t="n"/>
      <c r="CE138" s="20" t="n"/>
      <c r="CF138" s="20" t="n"/>
      <c r="CG138" s="20" t="n"/>
      <c r="CH138" s="20" t="n"/>
      <c r="CI138" s="20" t="n"/>
      <c r="CJ138" s="20" t="n"/>
      <c r="CK138" s="20" t="n"/>
      <c r="CL138" s="20" t="n"/>
      <c r="CM138" s="20" t="n"/>
      <c r="CN138" s="20" t="n"/>
      <c r="CO138" s="20" t="n"/>
      <c r="CP138" s="20" t="n"/>
      <c r="CQ138" s="20" t="n"/>
      <c r="CR138" s="20" t="n"/>
      <c r="CS138" s="20" t="n"/>
      <c r="CT138" s="20" t="n"/>
      <c r="CU138" s="20" t="n"/>
      <c r="CV138" s="20" t="n"/>
      <c r="CW138" s="20" t="n"/>
      <c r="CX138" s="20" t="n"/>
      <c r="CY138" s="20" t="n"/>
      <c r="CZ138" s="20" t="n"/>
      <c r="DA138" s="20" t="n"/>
      <c r="DB138" s="20" t="n"/>
      <c r="DC138" s="20" t="n"/>
      <c r="DD138" s="20" t="n"/>
      <c r="DE138" s="20" t="n"/>
      <c r="DF138" s="20" t="n"/>
      <c r="DG138" s="20" t="n"/>
      <c r="DH138" s="20" t="n"/>
      <c r="DI138" s="20" t="n"/>
      <c r="DJ138" s="20" t="n"/>
      <c r="DK138" s="20" t="n"/>
      <c r="DL138" s="20" t="n"/>
      <c r="DM138" s="20" t="n"/>
      <c r="DN138" s="20" t="n"/>
      <c r="DO138" s="20" t="n"/>
      <c r="DP138" s="20" t="n"/>
      <c r="DQ138" s="20" t="n"/>
      <c r="DR138" s="20" t="n"/>
      <c r="DS138" s="20" t="n"/>
      <c r="DT138" s="20" t="n"/>
      <c r="DU138" s="20" t="n"/>
      <c r="DV138" s="24">
        <f>SUM(BC138:DS138)</f>
        <v/>
      </c>
      <c r="DW138" s="24">
        <f>DV138*AU138</f>
        <v/>
      </c>
      <c r="DX138" s="24">
        <f>DV138*AR138*AT138*AU138/12</f>
        <v/>
      </c>
      <c r="DY138" s="7">
        <f>DX138*AY138/1000</f>
        <v/>
      </c>
      <c r="DZ138" s="23">
        <f>DY138*1.07</f>
        <v/>
      </c>
      <c r="EA138" s="22">
        <f>IFERROR(DY138/AZ138,0)</f>
        <v/>
      </c>
      <c r="EB138" s="20" t="n"/>
      <c r="EC138" s="20" t="n"/>
      <c r="ED138" s="20" t="n"/>
      <c r="EE138" s="20">
        <f>IF(EB138&lt;&gt;"",EB138*ED138,0)</f>
        <v/>
      </c>
      <c r="EF138" s="20">
        <f>DV138-EE138</f>
        <v/>
      </c>
      <c r="EG138" s="20">
        <f>EF138*AU138</f>
        <v/>
      </c>
      <c r="EH138" s="20">
        <f>(EF138*AR138*AT138*AU138)/12</f>
        <v/>
      </c>
      <c r="EI138" s="20">
        <f>IFERROR(EH138/DV138,0)</f>
        <v/>
      </c>
      <c r="EJ138" s="20">
        <f>IFERROR(EH138*AY138/1000,0)</f>
        <v/>
      </c>
      <c r="EK138" s="20">
        <f>EJ138*1.07</f>
        <v/>
      </c>
      <c r="EL138" s="20" t="n"/>
      <c r="EM138" s="20" t="n"/>
    </row>
    <row r="139" ht="12.75" customHeight="1">
      <c r="A139" s="85" t="inlineStr">
        <is>
          <t>Lumber</t>
        </is>
      </c>
      <c r="B139" s="46" t="n">
        <v>53</v>
      </c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/>
      <c r="AH139" s="20" t="n"/>
      <c r="AI139" s="20" t="n"/>
      <c r="AJ139" s="20" t="n"/>
      <c r="AK139" s="20" t="n"/>
      <c r="AL139" s="20" t="n"/>
      <c r="AM139" s="20" t="n"/>
      <c r="AN139" s="20" t="n"/>
      <c r="AO139" s="20" t="n"/>
      <c r="AP139" s="20" t="n"/>
      <c r="AQ139" s="24">
        <f>SUM(B139,F139:AO139)</f>
        <v/>
      </c>
      <c r="AR139" s="30" t="n">
        <v>2</v>
      </c>
      <c r="AS139" s="29" t="inlineStr">
        <is>
          <t>x</t>
        </is>
      </c>
      <c r="AT139" s="30" t="n">
        <v>4</v>
      </c>
      <c r="AU139" s="30" t="n">
        <v>18</v>
      </c>
      <c r="AV139" s="80" t="inlineStr">
        <is>
          <t>SYP#2 PET</t>
        </is>
      </c>
      <c r="AW139" s="24">
        <f>AQ139*AU139</f>
        <v/>
      </c>
      <c r="AX139" s="84">
        <f>(AQ139*AR139*AT139*AU139)/12</f>
        <v/>
      </c>
      <c r="AY139" s="62" t="n">
        <v>685</v>
      </c>
      <c r="AZ139" s="7">
        <f>(AX139*AY139)/1000</f>
        <v/>
      </c>
      <c r="BA139" s="83">
        <f>AZ139*1.06</f>
        <v/>
      </c>
      <c r="BB139" s="34" t="n"/>
      <c r="BC139" s="34" t="n"/>
      <c r="BD139" s="34" t="n"/>
      <c r="BE139" s="34" t="n"/>
      <c r="BF139" s="35" t="n"/>
      <c r="BG139" s="35" t="n"/>
      <c r="BH139" s="35" t="n"/>
      <c r="BI139" s="35" t="n"/>
      <c r="BJ139" s="35" t="n"/>
      <c r="BK139" s="35" t="n"/>
      <c r="BL139" s="35" t="n"/>
      <c r="BM139" s="35" t="n"/>
      <c r="BN139" s="35" t="n"/>
      <c r="BO139" s="35" t="n"/>
      <c r="BP139" s="35" t="n"/>
      <c r="BQ139" s="35" t="n"/>
      <c r="BR139" s="35" t="n"/>
      <c r="BS139" s="35" t="n"/>
      <c r="BT139" s="35" t="n"/>
      <c r="BU139" s="35" t="n"/>
      <c r="BV139" s="35" t="n"/>
      <c r="BW139" s="35" t="n"/>
      <c r="BX139" s="35" t="n"/>
      <c r="BY139" s="35" t="n"/>
      <c r="BZ139" s="35" t="n"/>
      <c r="CA139" s="35" t="n"/>
      <c r="CB139" s="35" t="n"/>
      <c r="CC139" s="35" t="n"/>
      <c r="CD139" s="35" t="n"/>
      <c r="CE139" s="35" t="n"/>
      <c r="CF139" s="35" t="n"/>
      <c r="CG139" s="35" t="n"/>
      <c r="CH139" s="35" t="n"/>
      <c r="CI139" s="35" t="n"/>
      <c r="CJ139" s="35" t="n"/>
      <c r="CK139" s="35" t="n"/>
      <c r="CL139" s="35" t="n"/>
      <c r="CM139" s="35" t="n"/>
      <c r="CN139" s="35" t="n"/>
      <c r="CO139" s="35" t="n"/>
      <c r="CP139" s="35" t="n"/>
      <c r="CQ139" s="35" t="n"/>
      <c r="CR139" s="35" t="n"/>
      <c r="CS139" s="35" t="n"/>
      <c r="CT139" s="35" t="n"/>
      <c r="CU139" s="35" t="n"/>
      <c r="CV139" s="35" t="n"/>
      <c r="CW139" s="35" t="n"/>
      <c r="CX139" s="35" t="n"/>
      <c r="CY139" s="35" t="n"/>
      <c r="CZ139" s="35" t="n"/>
      <c r="DA139" s="35" t="n"/>
      <c r="DB139" s="35" t="n"/>
      <c r="DC139" s="35" t="n"/>
      <c r="DD139" s="35" t="n"/>
      <c r="DE139" s="35" t="n"/>
      <c r="DF139" s="35" t="n"/>
      <c r="DG139" s="35" t="n"/>
      <c r="DH139" s="35" t="n"/>
      <c r="DI139" s="35" t="n"/>
      <c r="DJ139" s="35" t="n"/>
      <c r="DK139" s="35" t="n"/>
      <c r="DL139" s="35" t="n"/>
      <c r="DM139" s="35" t="n"/>
      <c r="DN139" s="35" t="n"/>
      <c r="DO139" s="35" t="n"/>
      <c r="DP139" s="35" t="n"/>
      <c r="DQ139" s="35" t="n"/>
      <c r="DR139" s="35" t="n"/>
      <c r="DS139" s="35" t="n"/>
      <c r="DT139" s="35" t="n"/>
      <c r="DU139" s="35" t="n"/>
      <c r="DV139" s="24">
        <f>SUM(BC139:DS139)</f>
        <v/>
      </c>
      <c r="DW139" s="24">
        <f>DV139*AU139</f>
        <v/>
      </c>
      <c r="DX139" s="24">
        <f>DV139*AR139*AT139*AU139/12</f>
        <v/>
      </c>
      <c r="DY139" s="7">
        <f>DX139*AY139/1000</f>
        <v/>
      </c>
      <c r="DZ139" s="23">
        <f>DY139*1.07</f>
        <v/>
      </c>
      <c r="EA139" s="22">
        <f>IFERROR(DY139/AZ139,0)</f>
        <v/>
      </c>
      <c r="EB139" s="35" t="n"/>
      <c r="EC139" s="35" t="n"/>
      <c r="ED139" s="35" t="n"/>
      <c r="EE139" s="35">
        <f>IF(EB139&lt;&gt;"",EB139*ED139,0)</f>
        <v/>
      </c>
      <c r="EF139" s="35">
        <f>DV139-EE139</f>
        <v/>
      </c>
      <c r="EG139" s="35">
        <f>EF139*AU139</f>
        <v/>
      </c>
      <c r="EH139" s="35">
        <f>(EF139*AR139*AT139*AU139)/12</f>
        <v/>
      </c>
      <c r="EI139" s="35">
        <f>IFERROR(EH139/DV139,0)</f>
        <v/>
      </c>
      <c r="EJ139" s="35">
        <f>IFERROR(EH139*AY139/1000,0)</f>
        <v/>
      </c>
      <c r="EK139" s="35">
        <f>EJ139*1.07</f>
        <v/>
      </c>
      <c r="EL139" s="35" t="n"/>
      <c r="EM139" s="35" t="n"/>
    </row>
    <row r="140" ht="12.75" customHeight="1">
      <c r="A140" s="85" t="inlineStr">
        <is>
          <t>Lumber</t>
        </is>
      </c>
      <c r="B140" s="46" t="n">
        <v>273</v>
      </c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0" t="n"/>
      <c r="AF140" s="20" t="n"/>
      <c r="AG140" s="20" t="n"/>
      <c r="AH140" s="20" t="n"/>
      <c r="AI140" s="20" t="n"/>
      <c r="AJ140" s="20" t="n"/>
      <c r="AK140" s="20" t="n"/>
      <c r="AL140" s="20" t="n"/>
      <c r="AM140" s="20" t="n"/>
      <c r="AN140" s="20" t="n"/>
      <c r="AO140" s="20" t="n"/>
      <c r="AP140" s="20" t="n"/>
      <c r="AQ140" s="24">
        <f>SUM(B140,F140:AO140)</f>
        <v/>
      </c>
      <c r="AR140" s="30" t="n">
        <v>2</v>
      </c>
      <c r="AS140" s="29" t="inlineStr">
        <is>
          <t>x</t>
        </is>
      </c>
      <c r="AT140" s="30" t="n">
        <v>6</v>
      </c>
      <c r="AU140" s="30" t="n">
        <v>16</v>
      </c>
      <c r="AV140" s="80" t="inlineStr">
        <is>
          <t>SYP#2 PET</t>
        </is>
      </c>
      <c r="AW140" s="24">
        <f>AQ140*AU140</f>
        <v/>
      </c>
      <c r="AX140" s="84">
        <f>(AQ140*AR140*AT140*AU140)/12</f>
        <v/>
      </c>
      <c r="AY140" s="62" t="n">
        <v>695</v>
      </c>
      <c r="AZ140" s="7">
        <f>(AX140*AY140)/1000</f>
        <v/>
      </c>
      <c r="BA140" s="83">
        <f>AZ140*1.06</f>
        <v/>
      </c>
      <c r="BB140" s="24" t="n"/>
      <c r="BC140" s="24" t="n"/>
      <c r="BD140" s="24" t="n"/>
      <c r="BE140" s="24" t="n"/>
      <c r="BF140" s="20" t="n"/>
      <c r="BG140" s="20" t="n"/>
      <c r="BH140" s="20" t="n"/>
      <c r="BI140" s="20" t="n"/>
      <c r="BJ140" s="20" t="n"/>
      <c r="BK140" s="20" t="n"/>
      <c r="BL140" s="20" t="n"/>
      <c r="BM140" s="20" t="n"/>
      <c r="BN140" s="20" t="n"/>
      <c r="BO140" s="20" t="n"/>
      <c r="BP140" s="20" t="n"/>
      <c r="BQ140" s="20" t="n"/>
      <c r="BR140" s="20" t="n"/>
      <c r="BS140" s="20" t="n"/>
      <c r="BT140" s="20" t="n"/>
      <c r="BU140" s="20" t="n"/>
      <c r="BV140" s="20" t="n"/>
      <c r="BW140" s="20" t="n"/>
      <c r="BX140" s="20" t="n"/>
      <c r="BY140" s="20" t="n"/>
      <c r="BZ140" s="20" t="n"/>
      <c r="CA140" s="20" t="n"/>
      <c r="CB140" s="20" t="n"/>
      <c r="CC140" s="20" t="n"/>
      <c r="CD140" s="20" t="n"/>
      <c r="CE140" s="20" t="n"/>
      <c r="CF140" s="20" t="n"/>
      <c r="CG140" s="20" t="n"/>
      <c r="CH140" s="20" t="n"/>
      <c r="CI140" s="20" t="n"/>
      <c r="CJ140" s="20" t="n"/>
      <c r="CK140" s="20" t="n"/>
      <c r="CL140" s="20" t="n"/>
      <c r="CM140" s="20" t="n"/>
      <c r="CN140" s="20" t="n"/>
      <c r="CO140" s="20" t="n"/>
      <c r="CP140" s="20" t="n"/>
      <c r="CQ140" s="20" t="n"/>
      <c r="CR140" s="20" t="n"/>
      <c r="CS140" s="20" t="n"/>
      <c r="CT140" s="20" t="n"/>
      <c r="CU140" s="20" t="n"/>
      <c r="CV140" s="20" t="n"/>
      <c r="CW140" s="20" t="n"/>
      <c r="CX140" s="20" t="n"/>
      <c r="CY140" s="20" t="n"/>
      <c r="CZ140" s="20" t="n"/>
      <c r="DA140" s="20" t="n"/>
      <c r="DB140" s="20" t="n"/>
      <c r="DC140" s="20" t="n"/>
      <c r="DD140" s="20" t="n"/>
      <c r="DE140" s="20" t="n"/>
      <c r="DF140" s="20" t="n"/>
      <c r="DG140" s="20" t="n"/>
      <c r="DH140" s="20" t="n"/>
      <c r="DI140" s="20" t="n"/>
      <c r="DJ140" s="20" t="n"/>
      <c r="DK140" s="20" t="n"/>
      <c r="DL140" s="20" t="n"/>
      <c r="DM140" s="20" t="n"/>
      <c r="DN140" s="20" t="n"/>
      <c r="DO140" s="20" t="n"/>
      <c r="DP140" s="20" t="n"/>
      <c r="DQ140" s="20" t="n"/>
      <c r="DR140" s="20" t="n"/>
      <c r="DS140" s="20" t="n"/>
      <c r="DT140" s="20" t="n"/>
      <c r="DU140" s="20" t="n"/>
      <c r="DV140" s="24">
        <f>SUM(BC140:DS140)</f>
        <v/>
      </c>
      <c r="DW140" s="24">
        <f>DV140*AU140</f>
        <v/>
      </c>
      <c r="DX140" s="24">
        <f>DV140*AR140*AT140*AU140/12</f>
        <v/>
      </c>
      <c r="DY140" s="7">
        <f>DX140*AY140/1000</f>
        <v/>
      </c>
      <c r="DZ140" s="23">
        <f>DY140*1.07</f>
        <v/>
      </c>
      <c r="EA140" s="22">
        <f>IFERROR(DY140/AZ140,0)</f>
        <v/>
      </c>
      <c r="EB140" s="20" t="n"/>
      <c r="EC140" s="20" t="n"/>
      <c r="ED140" s="20" t="n"/>
      <c r="EE140" s="20">
        <f>IF(EB140&lt;&gt;"",EB140*ED140,0)</f>
        <v/>
      </c>
      <c r="EF140" s="20">
        <f>DV140-EE140</f>
        <v/>
      </c>
      <c r="EG140" s="20">
        <f>EF140*AU140</f>
        <v/>
      </c>
      <c r="EH140" s="20">
        <f>(EF140*AR140*AT140*AU140)/12</f>
        <v/>
      </c>
      <c r="EI140" s="20">
        <f>IFERROR(EH140/DV140,0)</f>
        <v/>
      </c>
      <c r="EJ140" s="20">
        <f>IFERROR(EH140*AY140/1000,0)</f>
        <v/>
      </c>
      <c r="EK140" s="20">
        <f>EJ140*1.07</f>
        <v/>
      </c>
      <c r="EL140" s="20" t="n"/>
      <c r="EM140" s="20" t="n"/>
    </row>
    <row r="141" ht="12.75" customHeight="1">
      <c r="A141" s="85" t="inlineStr">
        <is>
          <t>Lumber</t>
        </is>
      </c>
      <c r="B141" s="46" t="n">
        <v>207</v>
      </c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 t="n"/>
      <c r="AF141" s="35" t="n"/>
      <c r="AG141" s="35" t="n"/>
      <c r="AH141" s="35" t="n"/>
      <c r="AI141" s="35" t="n"/>
      <c r="AJ141" s="35" t="n"/>
      <c r="AK141" s="35" t="n"/>
      <c r="AL141" s="35" t="n"/>
      <c r="AM141" s="35" t="n"/>
      <c r="AN141" s="35" t="n"/>
      <c r="AO141" s="35" t="n"/>
      <c r="AP141" s="35" t="n"/>
      <c r="AQ141" s="24">
        <f>SUM(B141,F141:AO141)</f>
        <v/>
      </c>
      <c r="AR141" s="354" t="n">
        <v>2</v>
      </c>
      <c r="AS141" s="356" t="inlineStr">
        <is>
          <t>x</t>
        </is>
      </c>
      <c r="AT141" s="354" t="n">
        <v>6</v>
      </c>
      <c r="AU141" s="354" t="n">
        <v>18</v>
      </c>
      <c r="AV141" s="79" t="inlineStr">
        <is>
          <t>SYP#2 PET</t>
        </is>
      </c>
      <c r="AW141" s="24">
        <f>AQ141*AU141</f>
        <v/>
      </c>
      <c r="AX141" s="84">
        <f>(AQ141*AR141*AT141*AU141)/12</f>
        <v/>
      </c>
      <c r="AY141" s="62" t="n">
        <v>695</v>
      </c>
      <c r="AZ141" s="7">
        <f>(AX141*AY141)/1000</f>
        <v/>
      </c>
      <c r="BA141" s="83">
        <f>AZ141*1.06</f>
        <v/>
      </c>
      <c r="BB141" s="34" t="n"/>
      <c r="BC141" s="34" t="n"/>
      <c r="BD141" s="34" t="n"/>
      <c r="BE141" s="34" t="n"/>
      <c r="BF141" s="35" t="n"/>
      <c r="BG141" s="35" t="n"/>
      <c r="BH141" s="35" t="n"/>
      <c r="BI141" s="35" t="n"/>
      <c r="BJ141" s="35" t="n"/>
      <c r="BK141" s="35" t="n"/>
      <c r="BL141" s="35" t="n"/>
      <c r="BM141" s="35" t="n"/>
      <c r="BN141" s="35" t="n"/>
      <c r="BO141" s="35" t="n"/>
      <c r="BP141" s="35" t="n"/>
      <c r="BQ141" s="35" t="n"/>
      <c r="BR141" s="35" t="n"/>
      <c r="BS141" s="35" t="n"/>
      <c r="BT141" s="35" t="n"/>
      <c r="BU141" s="35" t="n"/>
      <c r="BV141" s="35" t="n"/>
      <c r="BW141" s="35" t="n"/>
      <c r="BX141" s="35" t="n"/>
      <c r="BY141" s="35" t="n"/>
      <c r="BZ141" s="35" t="n"/>
      <c r="CA141" s="35" t="n"/>
      <c r="CB141" s="35" t="n"/>
      <c r="CC141" s="35" t="n"/>
      <c r="CD141" s="35" t="n"/>
      <c r="CE141" s="35" t="n"/>
      <c r="CF141" s="35" t="n"/>
      <c r="CG141" s="35" t="n"/>
      <c r="CH141" s="35" t="n"/>
      <c r="CI141" s="35" t="n"/>
      <c r="CJ141" s="35" t="n"/>
      <c r="CK141" s="35" t="n"/>
      <c r="CL141" s="35" t="n"/>
      <c r="CM141" s="35" t="n"/>
      <c r="CN141" s="35" t="n"/>
      <c r="CO141" s="35" t="n"/>
      <c r="CP141" s="35" t="n"/>
      <c r="CQ141" s="35" t="n"/>
      <c r="CR141" s="35" t="n"/>
      <c r="CS141" s="35" t="n"/>
      <c r="CT141" s="35" t="n"/>
      <c r="CU141" s="35" t="n"/>
      <c r="CV141" s="35" t="n"/>
      <c r="CW141" s="35" t="n"/>
      <c r="CX141" s="35" t="n"/>
      <c r="CY141" s="35" t="n"/>
      <c r="CZ141" s="35" t="n"/>
      <c r="DA141" s="35" t="n"/>
      <c r="DB141" s="35" t="n"/>
      <c r="DC141" s="35" t="n"/>
      <c r="DD141" s="35" t="n"/>
      <c r="DE141" s="35" t="n"/>
      <c r="DF141" s="35" t="n"/>
      <c r="DG141" s="35" t="n"/>
      <c r="DH141" s="35" t="n"/>
      <c r="DI141" s="35" t="n"/>
      <c r="DJ141" s="35" t="n"/>
      <c r="DK141" s="35" t="n"/>
      <c r="DL141" s="35" t="n"/>
      <c r="DM141" s="35" t="n"/>
      <c r="DN141" s="35" t="n"/>
      <c r="DO141" s="35" t="n"/>
      <c r="DP141" s="35" t="n"/>
      <c r="DQ141" s="35" t="n"/>
      <c r="DR141" s="35" t="n"/>
      <c r="DS141" s="35" t="n"/>
      <c r="DT141" s="35" t="n"/>
      <c r="DU141" s="35" t="n"/>
      <c r="DV141" s="24">
        <f>SUM(BC141:DS141)</f>
        <v/>
      </c>
      <c r="DW141" s="24">
        <f>DV141*AU141</f>
        <v/>
      </c>
      <c r="DX141" s="24">
        <f>DV141*AR141*AT141*AU141/12</f>
        <v/>
      </c>
      <c r="DY141" s="7">
        <f>DX141*AY141/1000</f>
        <v/>
      </c>
      <c r="DZ141" s="23">
        <f>DY141*1.07</f>
        <v/>
      </c>
      <c r="EA141" s="22">
        <f>IFERROR(DY141/AZ141,0)</f>
        <v/>
      </c>
      <c r="EB141" s="35" t="n"/>
      <c r="EC141" s="35" t="n"/>
      <c r="ED141" s="35" t="n"/>
      <c r="EE141" s="35">
        <f>IF(EB141&lt;&gt;"",EB141*ED141,0)</f>
        <v/>
      </c>
      <c r="EF141" s="35">
        <f>DV141-EE141</f>
        <v/>
      </c>
      <c r="EG141" s="35">
        <f>EF141*AU141</f>
        <v/>
      </c>
      <c r="EH141" s="35">
        <f>(EF141*AR141*AT141*AU141)/12</f>
        <v/>
      </c>
      <c r="EI141" s="35">
        <f>IFERROR(EH141/DV141,0)</f>
        <v/>
      </c>
      <c r="EJ141" s="35">
        <f>IFERROR(EH141*AY141/1000,0)</f>
        <v/>
      </c>
      <c r="EK141" s="35">
        <f>EJ141*1.07</f>
        <v/>
      </c>
      <c r="EL141" s="35" t="n"/>
      <c r="EM141" s="35" t="n"/>
    </row>
    <row r="142" ht="12.75" customHeight="1">
      <c r="A142" s="81" t="inlineStr">
        <is>
          <t>LVL</t>
        </is>
      </c>
      <c r="B142" s="82" t="n">
        <v>280</v>
      </c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  <c r="AF142" s="20" t="n"/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4">
        <f>SUM(B142,F142:AO142)</f>
        <v/>
      </c>
      <c r="AR142" s="20" t="n"/>
      <c r="AS142" s="20" t="n"/>
      <c r="AT142" s="20" t="n"/>
      <c r="AU142" s="30" t="n">
        <v>1</v>
      </c>
      <c r="AV142" s="80" t="inlineStr">
        <is>
          <t xml:space="preserve">1-3/4 X 9-1/4 LVL </t>
        </is>
      </c>
      <c r="AW142" s="24">
        <f>AQ142*AU142</f>
        <v/>
      </c>
      <c r="AX142" s="20" t="n"/>
      <c r="AY142" s="69" t="n">
        <v>10.95</v>
      </c>
      <c r="AZ142" s="7">
        <f>AW142*AY142</f>
        <v/>
      </c>
      <c r="BA142" s="7">
        <f>AZ142*1.06</f>
        <v/>
      </c>
      <c r="BB142" s="24" t="n">
        <v>68981056</v>
      </c>
      <c r="BC142" s="24" t="n"/>
      <c r="BD142" s="24" t="n"/>
      <c r="BE142" s="24" t="n"/>
      <c r="BF142" s="20" t="n"/>
      <c r="BG142" s="20" t="n"/>
      <c r="BH142" s="20" t="n"/>
      <c r="BI142" s="20" t="n"/>
      <c r="BJ142" s="20" t="n"/>
      <c r="BK142" s="20" t="n"/>
      <c r="BL142" s="20" t="n"/>
      <c r="BM142" s="20" t="n"/>
      <c r="BN142" s="20" t="n"/>
      <c r="BO142" s="20" t="n"/>
      <c r="BP142" s="20" t="n"/>
      <c r="BQ142" s="20" t="n"/>
      <c r="BR142" s="24">
        <f>288</f>
        <v/>
      </c>
      <c r="BS142" s="20" t="n"/>
      <c r="BT142" s="20" t="n"/>
      <c r="BU142" s="20" t="n"/>
      <c r="BV142" s="20" t="n"/>
      <c r="BW142" s="20" t="n"/>
      <c r="BX142" s="20" t="n"/>
      <c r="BY142" s="20" t="n"/>
      <c r="BZ142" s="20" t="n"/>
      <c r="CA142" s="20" t="n"/>
      <c r="CB142" s="20" t="n"/>
      <c r="CC142" s="20" t="n"/>
      <c r="CD142" s="20" t="n"/>
      <c r="CE142" s="20" t="n"/>
      <c r="CF142" s="20" t="n"/>
      <c r="CG142" s="20" t="n"/>
      <c r="CH142" s="20" t="n"/>
      <c r="CI142" s="20" t="n"/>
      <c r="CJ142" s="20" t="n"/>
      <c r="CK142" s="20" t="n"/>
      <c r="CL142" s="20" t="n"/>
      <c r="CM142" s="20" t="n"/>
      <c r="CN142" s="20" t="n"/>
      <c r="CO142" s="20" t="n"/>
      <c r="CP142" s="20" t="n"/>
      <c r="CQ142" s="20" t="n"/>
      <c r="CR142" s="20" t="n"/>
      <c r="CS142" s="20" t="n"/>
      <c r="CT142" s="20" t="n"/>
      <c r="CU142" s="20" t="n"/>
      <c r="CV142" s="20" t="n"/>
      <c r="CW142" s="20" t="n"/>
      <c r="CX142" s="20" t="n"/>
      <c r="CY142" s="20" t="n"/>
      <c r="CZ142" s="20" t="n"/>
      <c r="DA142" s="20" t="n"/>
      <c r="DB142" s="20" t="n"/>
      <c r="DC142" s="20" t="n"/>
      <c r="DD142" s="20" t="n"/>
      <c r="DE142" s="20" t="n"/>
      <c r="DF142" s="20" t="n"/>
      <c r="DG142" s="20" t="n"/>
      <c r="DH142" s="20" t="n"/>
      <c r="DI142" s="20" t="n"/>
      <c r="DJ142" s="20" t="n"/>
      <c r="DK142" s="20" t="n"/>
      <c r="DL142" s="20" t="n"/>
      <c r="DM142" s="20" t="n"/>
      <c r="DN142" s="20" t="n"/>
      <c r="DO142" s="20" t="n"/>
      <c r="DP142" s="20" t="n"/>
      <c r="DQ142" s="20" t="n"/>
      <c r="DR142" s="20" t="n"/>
      <c r="DS142" s="20" t="n"/>
      <c r="DT142" s="20" t="n"/>
      <c r="DU142" s="20" t="n"/>
      <c r="DV142" s="24">
        <f>SUM(BC142:DS142)</f>
        <v/>
      </c>
      <c r="DW142" s="24">
        <f>DV142*AU142</f>
        <v/>
      </c>
      <c r="DX142" s="24">
        <f>DV142*AU142</f>
        <v/>
      </c>
      <c r="DY142" s="7">
        <f>DW142*AY142</f>
        <v/>
      </c>
      <c r="DZ142" s="23">
        <f>DY142*1.07</f>
        <v/>
      </c>
      <c r="EA142" s="22">
        <f>IFERROR(DY142/AZ142,0)</f>
        <v/>
      </c>
      <c r="EB142" s="20" t="n"/>
      <c r="EC142" s="20" t="n"/>
      <c r="ED142" s="20" t="n"/>
      <c r="EE142" s="20">
        <f>IF(EB142&lt;&gt;"",EB142*ED142,0)</f>
        <v/>
      </c>
      <c r="EF142" s="20">
        <f>DV142-EE142</f>
        <v/>
      </c>
      <c r="EG142" s="20">
        <f>EF142*AU142</f>
        <v/>
      </c>
      <c r="EH142" s="20">
        <f>EF142</f>
        <v/>
      </c>
      <c r="EI142" s="20">
        <f>IFERROR(EH142/DV142,0)</f>
        <v/>
      </c>
      <c r="EJ142" s="20">
        <f>IFERROR(EH142*AY142/1000,0)</f>
        <v/>
      </c>
      <c r="EK142" s="20">
        <f>EJ142*1.07</f>
        <v/>
      </c>
      <c r="EL142" s="25" t="n"/>
      <c r="EM142" s="20" t="n"/>
    </row>
    <row r="143" ht="12.75" customHeight="1">
      <c r="A143" s="81" t="inlineStr">
        <is>
          <t>LVL</t>
        </is>
      </c>
      <c r="B143" s="41" t="n">
        <v>18</v>
      </c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4">
        <f>SUM(B143,F143:AO143)</f>
        <v/>
      </c>
      <c r="AR143" s="20" t="n"/>
      <c r="AS143" s="20" t="n"/>
      <c r="AT143" s="20" t="n"/>
      <c r="AU143" s="30" t="n">
        <v>10</v>
      </c>
      <c r="AV143" s="80" t="inlineStr">
        <is>
          <t>1-3/4 X 11-7/8 LVL</t>
        </is>
      </c>
      <c r="AW143" s="24">
        <f>AQ143*AU143</f>
        <v/>
      </c>
      <c r="AX143" s="20" t="n"/>
      <c r="AY143" s="57" t="n">
        <v>5.65</v>
      </c>
      <c r="AZ143" s="7">
        <f>AW143*AY143</f>
        <v/>
      </c>
      <c r="BA143" s="7">
        <f>AZ143*1.06</f>
        <v/>
      </c>
      <c r="BB143" s="24" t="n">
        <v>68981066</v>
      </c>
      <c r="BC143" s="24" t="n"/>
      <c r="BD143" s="24" t="n"/>
      <c r="BE143" s="24" t="n"/>
      <c r="BF143" s="20" t="n"/>
      <c r="BG143" s="20" t="n"/>
      <c r="BH143" s="20" t="n"/>
      <c r="BI143" s="20" t="n"/>
      <c r="BJ143" s="20" t="n"/>
      <c r="BK143" s="20" t="n"/>
      <c r="BL143" s="20" t="n"/>
      <c r="BM143" s="20" t="n"/>
      <c r="BN143" s="20" t="n"/>
      <c r="BO143" s="20" t="n"/>
      <c r="BP143" s="20" t="n"/>
      <c r="BQ143" s="20" t="n"/>
      <c r="BR143" s="20" t="n"/>
      <c r="BS143" s="24">
        <f>180/10</f>
        <v/>
      </c>
      <c r="BT143" s="20" t="n"/>
      <c r="BU143" s="20" t="n"/>
      <c r="BV143" s="20" t="n"/>
      <c r="BW143" s="20" t="n"/>
      <c r="BX143" s="20" t="n"/>
      <c r="BY143" s="20" t="n"/>
      <c r="BZ143" s="20" t="n"/>
      <c r="CA143" s="20" t="n"/>
      <c r="CB143" s="20" t="n"/>
      <c r="CC143" s="20" t="n"/>
      <c r="CD143" s="20" t="n"/>
      <c r="CE143" s="20" t="n"/>
      <c r="CF143" s="20" t="n"/>
      <c r="CG143" s="20" t="n"/>
      <c r="CH143" s="20" t="n"/>
      <c r="CI143" s="20" t="n"/>
      <c r="CJ143" s="20" t="n"/>
      <c r="CK143" s="20" t="n"/>
      <c r="CL143" s="20" t="n"/>
      <c r="CM143" s="20" t="n"/>
      <c r="CN143" s="20" t="n"/>
      <c r="CO143" s="20" t="n"/>
      <c r="CP143" s="20" t="n"/>
      <c r="CQ143" s="20" t="n"/>
      <c r="CR143" s="20" t="n"/>
      <c r="CS143" s="20" t="n"/>
      <c r="CT143" s="20" t="n"/>
      <c r="CU143" s="20" t="n"/>
      <c r="CV143" s="20" t="n"/>
      <c r="CW143" s="20" t="n"/>
      <c r="CX143" s="20" t="n"/>
      <c r="CY143" s="20" t="n"/>
      <c r="CZ143" s="20" t="n"/>
      <c r="DA143" s="20" t="n"/>
      <c r="DB143" s="20" t="n"/>
      <c r="DC143" s="20" t="n"/>
      <c r="DD143" s="20" t="n"/>
      <c r="DE143" s="20" t="n"/>
      <c r="DF143" s="20" t="n"/>
      <c r="DG143" s="20" t="n"/>
      <c r="DH143" s="20" t="n"/>
      <c r="DI143" s="20" t="n"/>
      <c r="DJ143" s="20" t="n"/>
      <c r="DK143" s="20" t="n"/>
      <c r="DL143" s="20" t="n"/>
      <c r="DM143" s="20" t="n"/>
      <c r="DN143" s="20" t="n"/>
      <c r="DO143" s="20" t="n"/>
      <c r="DP143" s="20" t="n"/>
      <c r="DQ143" s="20" t="n"/>
      <c r="DR143" s="20" t="n"/>
      <c r="DS143" s="20" t="n"/>
      <c r="DT143" s="20" t="n"/>
      <c r="DU143" s="20" t="n"/>
      <c r="DV143" s="24">
        <f>SUM(BC143:DS143)</f>
        <v/>
      </c>
      <c r="DW143" s="24">
        <f>DV143*AU143</f>
        <v/>
      </c>
      <c r="DX143" s="24">
        <f>DV143*AU143</f>
        <v/>
      </c>
      <c r="DY143" s="7">
        <f>DW143*AY143</f>
        <v/>
      </c>
      <c r="DZ143" s="23">
        <f>DY143*1.07</f>
        <v/>
      </c>
      <c r="EA143" s="22">
        <f>IFERROR(DY143/AZ143,0)</f>
        <v/>
      </c>
      <c r="EB143" s="20" t="n"/>
      <c r="EC143" s="20" t="n"/>
      <c r="ED143" s="20" t="n"/>
      <c r="EE143" s="20">
        <f>IF(EB143&lt;&gt;"",EB143*ED143,0)</f>
        <v/>
      </c>
      <c r="EF143" s="20">
        <f>DV143-EE143</f>
        <v/>
      </c>
      <c r="EG143" s="20">
        <f>EF143*AU143</f>
        <v/>
      </c>
      <c r="EH143" s="20">
        <f>EF143</f>
        <v/>
      </c>
      <c r="EI143" s="20">
        <f>IFERROR(EH143/DV143,0)</f>
        <v/>
      </c>
      <c r="EJ143" s="20">
        <f>IFERROR(EH143*AY143/1000,0)</f>
        <v/>
      </c>
      <c r="EK143" s="20">
        <f>EJ143*1.07</f>
        <v/>
      </c>
      <c r="EL143" s="25" t="n"/>
      <c r="EM143" s="20" t="n"/>
    </row>
    <row r="144" ht="12.75" customHeight="1">
      <c r="A144" s="81" t="inlineStr">
        <is>
          <t>LVL</t>
        </is>
      </c>
      <c r="B144" s="41" t="n">
        <v>2240</v>
      </c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n"/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0" t="n"/>
      <c r="AP144" s="20" t="n"/>
      <c r="AQ144" s="24">
        <f>SUM(B144,F144:AO144)</f>
        <v/>
      </c>
      <c r="AR144" s="20" t="n"/>
      <c r="AS144" s="20" t="n"/>
      <c r="AT144" s="20" t="n"/>
      <c r="AU144" s="30" t="n">
        <v>1</v>
      </c>
      <c r="AV144" s="80" t="inlineStr">
        <is>
          <t>1-3/4 X 9-1/4 LSL/LVL</t>
        </is>
      </c>
      <c r="AW144" s="24">
        <f>AQ144*AU144</f>
        <v/>
      </c>
      <c r="AX144" s="20" t="n"/>
      <c r="AY144" s="57" t="n">
        <v>4.45</v>
      </c>
      <c r="AZ144" s="7">
        <f>AW144*AY144</f>
        <v/>
      </c>
      <c r="BA144" s="7">
        <f>AZ144*1.06</f>
        <v/>
      </c>
      <c r="BB144" s="24" t="n">
        <v>68981066</v>
      </c>
      <c r="BC144" s="24" t="n"/>
      <c r="BD144" s="24" t="n"/>
      <c r="BE144" s="24" t="n"/>
      <c r="BF144" s="20" t="n"/>
      <c r="BG144" s="20" t="n"/>
      <c r="BH144" s="20" t="n"/>
      <c r="BI144" s="20" t="n"/>
      <c r="BJ144" s="20" t="n"/>
      <c r="BK144" s="20" t="n"/>
      <c r="BL144" s="20" t="n"/>
      <c r="BM144" s="20" t="n"/>
      <c r="BN144" s="20" t="n"/>
      <c r="BO144" s="20" t="n"/>
      <c r="BP144" s="20" t="n"/>
      <c r="BQ144" s="20" t="n"/>
      <c r="BR144" s="20" t="n"/>
      <c r="BS144" s="24">
        <f>645+1575</f>
        <v/>
      </c>
      <c r="BT144" s="20" t="n"/>
      <c r="BU144" s="20" t="n"/>
      <c r="BV144" s="20" t="n"/>
      <c r="BW144" s="20" t="n"/>
      <c r="BX144" s="20" t="n"/>
      <c r="BY144" s="20" t="n"/>
      <c r="BZ144" s="20" t="n"/>
      <c r="CA144" s="20" t="n"/>
      <c r="CB144" s="20" t="n"/>
      <c r="CC144" s="20" t="n"/>
      <c r="CD144" s="20" t="n"/>
      <c r="CE144" s="20" t="n"/>
      <c r="CF144" s="20" t="n"/>
      <c r="CG144" s="20" t="n"/>
      <c r="CH144" s="20" t="n"/>
      <c r="CI144" s="20" t="n"/>
      <c r="CJ144" s="20" t="n"/>
      <c r="CK144" s="20" t="n"/>
      <c r="CL144" s="20" t="n"/>
      <c r="CM144" s="20" t="n"/>
      <c r="CN144" s="20" t="n"/>
      <c r="CO144" s="20" t="n"/>
      <c r="CP144" s="20" t="n"/>
      <c r="CQ144" s="20" t="n"/>
      <c r="CR144" s="20" t="n"/>
      <c r="CS144" s="20" t="n"/>
      <c r="CT144" s="20" t="n"/>
      <c r="CU144" s="20" t="n"/>
      <c r="CV144" s="20" t="n"/>
      <c r="CW144" s="20" t="n"/>
      <c r="CX144" s="20" t="n"/>
      <c r="CY144" s="20" t="n"/>
      <c r="CZ144" s="20" t="n"/>
      <c r="DA144" s="20" t="n"/>
      <c r="DB144" s="20" t="n"/>
      <c r="DC144" s="20" t="n"/>
      <c r="DD144" s="20" t="n"/>
      <c r="DE144" s="20" t="n"/>
      <c r="DF144" s="20" t="n"/>
      <c r="DG144" s="20" t="n"/>
      <c r="DH144" s="20" t="n"/>
      <c r="DI144" s="20" t="n"/>
      <c r="DJ144" s="20" t="n"/>
      <c r="DK144" s="20" t="n"/>
      <c r="DL144" s="20" t="n"/>
      <c r="DM144" s="20" t="n"/>
      <c r="DN144" s="20" t="n"/>
      <c r="DO144" s="20" t="n"/>
      <c r="DP144" s="20" t="n"/>
      <c r="DQ144" s="20" t="n"/>
      <c r="DR144" s="20" t="n"/>
      <c r="DS144" s="20" t="n"/>
      <c r="DT144" s="20" t="n"/>
      <c r="DU144" s="20" t="n"/>
      <c r="DV144" s="24">
        <f>SUM(BC144:DS144)</f>
        <v/>
      </c>
      <c r="DW144" s="24">
        <f>DV144*AU144</f>
        <v/>
      </c>
      <c r="DX144" s="24">
        <f>DV144*AU144</f>
        <v/>
      </c>
      <c r="DY144" s="7">
        <f>DW144*AY144</f>
        <v/>
      </c>
      <c r="DZ144" s="23">
        <f>DY144*1.07</f>
        <v/>
      </c>
      <c r="EA144" s="22">
        <f>IFERROR(DY144/AZ144,0)</f>
        <v/>
      </c>
      <c r="EB144" s="20" t="n"/>
      <c r="EC144" s="20" t="n"/>
      <c r="ED144" s="20" t="n"/>
      <c r="EE144" s="20">
        <f>IF(EB144&lt;&gt;"",EB144*ED144,0)</f>
        <v/>
      </c>
      <c r="EF144" s="20">
        <f>DV144-EE144</f>
        <v/>
      </c>
      <c r="EG144" s="20">
        <f>EF144*AU144</f>
        <v/>
      </c>
      <c r="EH144" s="20">
        <f>EF144</f>
        <v/>
      </c>
      <c r="EI144" s="20">
        <f>IFERROR(EH144/DV144,0)</f>
        <v/>
      </c>
      <c r="EJ144" s="20">
        <f>IFERROR(EH144*AY144/1000,0)</f>
        <v/>
      </c>
      <c r="EK144" s="20">
        <f>EJ144*1.07</f>
        <v/>
      </c>
      <c r="EL144" s="25" t="n"/>
      <c r="EM144" s="20" t="n"/>
    </row>
    <row r="145" ht="12.75" customHeight="1">
      <c r="A145" s="81" t="inlineStr">
        <is>
          <t>LVL</t>
        </is>
      </c>
      <c r="B145" s="41" t="n">
        <v>12</v>
      </c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0" t="n"/>
      <c r="AM145" s="20" t="n"/>
      <c r="AN145" s="20" t="n"/>
      <c r="AO145" s="20" t="n"/>
      <c r="AP145" s="20" t="n"/>
      <c r="AQ145" s="24">
        <f>SUM(B145,F145:AO145)</f>
        <v/>
      </c>
      <c r="AR145" s="20" t="n"/>
      <c r="AS145" s="20" t="n"/>
      <c r="AT145" s="20" t="n"/>
      <c r="AU145" s="30" t="n">
        <v>10</v>
      </c>
      <c r="AV145" s="80" t="inlineStr">
        <is>
          <t>1-3/4 X 9-1/4 LSL/LVL</t>
        </is>
      </c>
      <c r="AW145" s="24">
        <f>AQ145*AU145</f>
        <v/>
      </c>
      <c r="AX145" s="20" t="n"/>
      <c r="AY145" s="62" t="n">
        <v>4.45</v>
      </c>
      <c r="AZ145" s="7">
        <f>AW145*AY145</f>
        <v/>
      </c>
      <c r="BA145" s="7">
        <f>AZ145*1.06</f>
        <v/>
      </c>
      <c r="BB145" s="24" t="n">
        <v>68981066</v>
      </c>
      <c r="BC145" s="24" t="n"/>
      <c r="BD145" s="24" t="n"/>
      <c r="BE145" s="24" t="n"/>
      <c r="BF145" s="20" t="n"/>
      <c r="BG145" s="20" t="n"/>
      <c r="BH145" s="20" t="n"/>
      <c r="BI145" s="20" t="n"/>
      <c r="BJ145" s="20" t="n"/>
      <c r="BK145" s="20" t="n"/>
      <c r="BL145" s="20" t="n"/>
      <c r="BM145" s="20" t="n"/>
      <c r="BN145" s="20" t="n"/>
      <c r="BO145" s="20" t="n"/>
      <c r="BP145" s="20" t="n"/>
      <c r="BQ145" s="20" t="n"/>
      <c r="BR145" s="20" t="n"/>
      <c r="BS145" s="24">
        <f>120/10</f>
        <v/>
      </c>
      <c r="BT145" s="20" t="n"/>
      <c r="BU145" s="20" t="n"/>
      <c r="BV145" s="20" t="n"/>
      <c r="BW145" s="20" t="n"/>
      <c r="BX145" s="20" t="n"/>
      <c r="BY145" s="20" t="n"/>
      <c r="BZ145" s="20" t="n"/>
      <c r="CA145" s="20" t="n"/>
      <c r="CB145" s="20" t="n"/>
      <c r="CC145" s="20" t="n"/>
      <c r="CD145" s="20" t="n"/>
      <c r="CE145" s="20" t="n"/>
      <c r="CF145" s="20" t="n"/>
      <c r="CG145" s="20" t="n"/>
      <c r="CH145" s="20" t="n"/>
      <c r="CI145" s="20" t="n"/>
      <c r="CJ145" s="20" t="n"/>
      <c r="CK145" s="20" t="n"/>
      <c r="CL145" s="20" t="n"/>
      <c r="CM145" s="20" t="n"/>
      <c r="CN145" s="20" t="n"/>
      <c r="CO145" s="20" t="n"/>
      <c r="CP145" s="20" t="n"/>
      <c r="CQ145" s="20" t="n"/>
      <c r="CR145" s="20" t="n"/>
      <c r="CS145" s="20" t="n"/>
      <c r="CT145" s="20" t="n"/>
      <c r="CU145" s="20" t="n"/>
      <c r="CV145" s="20" t="n"/>
      <c r="CW145" s="20" t="n"/>
      <c r="CX145" s="20" t="n"/>
      <c r="CY145" s="20" t="n"/>
      <c r="CZ145" s="20" t="n"/>
      <c r="DA145" s="20" t="n"/>
      <c r="DB145" s="20" t="n"/>
      <c r="DC145" s="20" t="n"/>
      <c r="DD145" s="20" t="n"/>
      <c r="DE145" s="20" t="n"/>
      <c r="DF145" s="20" t="n"/>
      <c r="DG145" s="20" t="n"/>
      <c r="DH145" s="20" t="n"/>
      <c r="DI145" s="20" t="n"/>
      <c r="DJ145" s="20" t="n"/>
      <c r="DK145" s="20" t="n"/>
      <c r="DL145" s="20" t="n"/>
      <c r="DM145" s="20" t="n"/>
      <c r="DN145" s="20" t="n"/>
      <c r="DO145" s="20" t="n"/>
      <c r="DP145" s="20" t="n"/>
      <c r="DQ145" s="20" t="n"/>
      <c r="DR145" s="20" t="n"/>
      <c r="DS145" s="20" t="n"/>
      <c r="DT145" s="20" t="n"/>
      <c r="DU145" s="20" t="n"/>
      <c r="DV145" s="24">
        <f>SUM(BC145:DS145)</f>
        <v/>
      </c>
      <c r="DW145" s="24">
        <f>DV145*AU145</f>
        <v/>
      </c>
      <c r="DX145" s="24">
        <f>DV145*AU145</f>
        <v/>
      </c>
      <c r="DY145" s="7">
        <f>DW145*AY145</f>
        <v/>
      </c>
      <c r="DZ145" s="23">
        <f>DY145*1.07</f>
        <v/>
      </c>
      <c r="EA145" s="22">
        <f>IFERROR(DY145/AZ145,0)</f>
        <v/>
      </c>
      <c r="EB145" s="20" t="n"/>
      <c r="EC145" s="20" t="n"/>
      <c r="ED145" s="20" t="n"/>
      <c r="EE145" s="20">
        <f>IF(EB145&lt;&gt;"",EB145*ED145,0)</f>
        <v/>
      </c>
      <c r="EF145" s="20">
        <f>DV145-EE145</f>
        <v/>
      </c>
      <c r="EG145" s="20">
        <f>EF145*AU145</f>
        <v/>
      </c>
      <c r="EH145" s="20">
        <f>EF145</f>
        <v/>
      </c>
      <c r="EI145" s="20">
        <f>IFERROR(EH145/DV145,0)</f>
        <v/>
      </c>
      <c r="EJ145" s="20">
        <f>IFERROR(EH145*AY145/1000,0)</f>
        <v/>
      </c>
      <c r="EK145" s="20">
        <f>EJ145*1.07</f>
        <v/>
      </c>
      <c r="EL145" s="25" t="n"/>
      <c r="EM145" s="20" t="n"/>
    </row>
    <row r="146" ht="12.75" customHeight="1">
      <c r="A146" s="81" t="inlineStr">
        <is>
          <t>LVL</t>
        </is>
      </c>
      <c r="B146" s="46" t="n">
        <v>228</v>
      </c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0" t="n"/>
      <c r="AF146" s="20" t="n"/>
      <c r="AG146" s="20" t="n"/>
      <c r="AH146" s="20" t="n"/>
      <c r="AI146" s="20" t="n"/>
      <c r="AJ146" s="20" t="n"/>
      <c r="AK146" s="20" t="n"/>
      <c r="AL146" s="20" t="n"/>
      <c r="AM146" s="20" t="n"/>
      <c r="AN146" s="20" t="n"/>
      <c r="AO146" s="20" t="n"/>
      <c r="AP146" s="20" t="n"/>
      <c r="AQ146" s="24">
        <f>SUM(B146,F146:AO146)</f>
        <v/>
      </c>
      <c r="AR146" s="20" t="n"/>
      <c r="AS146" s="20" t="n"/>
      <c r="AT146" s="20" t="n"/>
      <c r="AU146" s="30" t="n">
        <v>18</v>
      </c>
      <c r="AV146" s="80" t="inlineStr">
        <is>
          <t>1-3/4 X 9-1/4 LSL/LVL</t>
        </is>
      </c>
      <c r="AW146" s="24">
        <f>AQ146*AU146</f>
        <v/>
      </c>
      <c r="AX146" s="20" t="n"/>
      <c r="AY146" s="62" t="n">
        <v>4.45</v>
      </c>
      <c r="AZ146" s="7">
        <f>AW146*AY146</f>
        <v/>
      </c>
      <c r="BA146" s="7">
        <f>AZ146*1.06</f>
        <v/>
      </c>
      <c r="BB146" s="24" t="n">
        <v>68981066</v>
      </c>
      <c r="BC146" s="24" t="n"/>
      <c r="BD146" s="24" t="n"/>
      <c r="BE146" s="24" t="n"/>
      <c r="BF146" s="20" t="n"/>
      <c r="BG146" s="20" t="n"/>
      <c r="BH146" s="20" t="n"/>
      <c r="BI146" s="20" t="n"/>
      <c r="BJ146" s="20" t="n"/>
      <c r="BK146" s="20" t="n"/>
      <c r="BL146" s="20" t="n"/>
      <c r="BM146" s="20" t="n"/>
      <c r="BN146" s="20" t="n"/>
      <c r="BO146" s="20" t="n"/>
      <c r="BP146" s="20" t="n"/>
      <c r="BQ146" s="20" t="n"/>
      <c r="BR146" s="20" t="n"/>
      <c r="BS146" s="24">
        <f>2088/18+2016/18</f>
        <v/>
      </c>
      <c r="BT146" s="20" t="n"/>
      <c r="BU146" s="20" t="n"/>
      <c r="BV146" s="20" t="n"/>
      <c r="BW146" s="20" t="n"/>
      <c r="BX146" s="20" t="n"/>
      <c r="BY146" s="20" t="n"/>
      <c r="BZ146" s="20" t="n"/>
      <c r="CA146" s="20" t="n"/>
      <c r="CB146" s="20" t="n"/>
      <c r="CC146" s="20" t="n"/>
      <c r="CD146" s="20" t="n"/>
      <c r="CE146" s="20" t="n"/>
      <c r="CF146" s="20" t="n"/>
      <c r="CG146" s="20" t="n"/>
      <c r="CH146" s="20" t="n"/>
      <c r="CI146" s="20" t="n"/>
      <c r="CJ146" s="20" t="n"/>
      <c r="CK146" s="20" t="n"/>
      <c r="CL146" s="20" t="n"/>
      <c r="CM146" s="20" t="n"/>
      <c r="CN146" s="20" t="n"/>
      <c r="CO146" s="20" t="n"/>
      <c r="CP146" s="20" t="n"/>
      <c r="CQ146" s="20" t="n"/>
      <c r="CR146" s="20" t="n"/>
      <c r="CS146" s="20" t="n"/>
      <c r="CT146" s="20" t="n"/>
      <c r="CU146" s="20" t="n"/>
      <c r="CV146" s="20" t="n"/>
      <c r="CW146" s="20" t="n"/>
      <c r="CX146" s="20" t="n"/>
      <c r="CY146" s="20" t="n"/>
      <c r="CZ146" s="20" t="n"/>
      <c r="DA146" s="20" t="n"/>
      <c r="DB146" s="20" t="n"/>
      <c r="DC146" s="20" t="n"/>
      <c r="DD146" s="20" t="n"/>
      <c r="DE146" s="20" t="n"/>
      <c r="DF146" s="20" t="n"/>
      <c r="DG146" s="20" t="n"/>
      <c r="DH146" s="20" t="n"/>
      <c r="DI146" s="20" t="n"/>
      <c r="DJ146" s="20" t="n"/>
      <c r="DK146" s="20" t="n"/>
      <c r="DL146" s="20" t="n"/>
      <c r="DM146" s="20" t="n"/>
      <c r="DN146" s="20" t="n"/>
      <c r="DO146" s="20" t="n"/>
      <c r="DP146" s="20" t="n"/>
      <c r="DQ146" s="20" t="n"/>
      <c r="DR146" s="20" t="n"/>
      <c r="DS146" s="20" t="n"/>
      <c r="DT146" s="20" t="n"/>
      <c r="DU146" s="20" t="n"/>
      <c r="DV146" s="24">
        <f>SUM(BC146:DS146)</f>
        <v/>
      </c>
      <c r="DW146" s="24">
        <f>DV146*AU146</f>
        <v/>
      </c>
      <c r="DX146" s="24">
        <f>DV146*AU146</f>
        <v/>
      </c>
      <c r="DY146" s="7">
        <f>DW146*AY146</f>
        <v/>
      </c>
      <c r="DZ146" s="23">
        <f>DY146*1.07</f>
        <v/>
      </c>
      <c r="EA146" s="22">
        <f>IFERROR(DY146/AZ146,0)</f>
        <v/>
      </c>
      <c r="EB146" s="20" t="n"/>
      <c r="EC146" s="20" t="n"/>
      <c r="ED146" s="20" t="n"/>
      <c r="EE146" s="20">
        <f>IF(EB146&lt;&gt;"",EB146*ED146,0)</f>
        <v/>
      </c>
      <c r="EF146" s="20">
        <f>DV146-EE146</f>
        <v/>
      </c>
      <c r="EG146" s="20">
        <f>EF146*AU146</f>
        <v/>
      </c>
      <c r="EH146" s="20">
        <f>EF146</f>
        <v/>
      </c>
      <c r="EI146" s="20">
        <f>IFERROR(EH146/DV146,0)</f>
        <v/>
      </c>
      <c r="EJ146" s="20">
        <f>IFERROR(EH146*AY146/1000,0)</f>
        <v/>
      </c>
      <c r="EK146" s="20">
        <f>EJ146*1.07</f>
        <v/>
      </c>
      <c r="EL146" s="25" t="n"/>
      <c r="EM146" s="20" t="n"/>
    </row>
    <row r="147" ht="12.75" customHeight="1">
      <c r="A147" s="81" t="inlineStr">
        <is>
          <t>LVL</t>
        </is>
      </c>
      <c r="B147" s="46" t="n">
        <v>294</v>
      </c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 t="n"/>
      <c r="AF147" s="35" t="n"/>
      <c r="AG147" s="35" t="n"/>
      <c r="AH147" s="35" t="n"/>
      <c r="AI147" s="35" t="n"/>
      <c r="AJ147" s="35" t="n"/>
      <c r="AK147" s="35" t="n"/>
      <c r="AL147" s="35" t="n"/>
      <c r="AM147" s="35" t="n"/>
      <c r="AN147" s="35" t="n"/>
      <c r="AO147" s="35" t="n"/>
      <c r="AP147" s="35" t="n"/>
      <c r="AQ147" s="24">
        <f>SUM(B147,F147:AO147)</f>
        <v/>
      </c>
      <c r="AR147" s="35" t="n"/>
      <c r="AS147" s="35" t="n"/>
      <c r="AT147" s="35" t="n"/>
      <c r="AU147" s="354" t="n">
        <v>26</v>
      </c>
      <c r="AV147" s="79" t="inlineStr">
        <is>
          <t>1-3/4 X 9-1/4 LSL/LVL</t>
        </is>
      </c>
      <c r="AW147" s="24">
        <f>AQ147*AU147</f>
        <v/>
      </c>
      <c r="AX147" s="20" t="n"/>
      <c r="AY147" s="62" t="n">
        <v>4.45</v>
      </c>
      <c r="AZ147" s="7">
        <f>AW147*AY147</f>
        <v/>
      </c>
      <c r="BA147" s="7">
        <f>AZ147*1.06</f>
        <v/>
      </c>
      <c r="BB147" s="24" t="n">
        <v>68981031</v>
      </c>
      <c r="BC147" s="24" t="n"/>
      <c r="BD147" s="24" t="n"/>
      <c r="BE147" s="24" t="n"/>
      <c r="BF147" s="20" t="n"/>
      <c r="BG147" s="20" t="n"/>
      <c r="BH147" s="20" t="n"/>
      <c r="BI147" s="20" t="n"/>
      <c r="BJ147" s="24">
        <f>(4290+3354)/26</f>
        <v/>
      </c>
      <c r="BK147" s="24" t="n"/>
      <c r="BL147" s="20" t="n"/>
      <c r="BM147" s="20" t="n"/>
      <c r="BN147" s="20" t="n"/>
      <c r="BO147" s="20" t="n"/>
      <c r="BP147" s="20" t="n"/>
      <c r="BQ147" s="20" t="n"/>
      <c r="BR147" s="20" t="n"/>
      <c r="BS147" s="20" t="n"/>
      <c r="BT147" s="20" t="n"/>
      <c r="BU147" s="20" t="n"/>
      <c r="BV147" s="20" t="n"/>
      <c r="BW147" s="20" t="n"/>
      <c r="BX147" s="20" t="n"/>
      <c r="BY147" s="20" t="n"/>
      <c r="BZ147" s="20" t="n"/>
      <c r="CA147" s="20" t="n"/>
      <c r="CB147" s="20" t="n"/>
      <c r="CC147" s="20" t="n"/>
      <c r="CD147" s="20" t="n"/>
      <c r="CE147" s="20" t="n"/>
      <c r="CF147" s="20" t="n"/>
      <c r="CG147" s="20" t="n"/>
      <c r="CH147" s="20" t="n"/>
      <c r="CI147" s="20" t="n"/>
      <c r="CJ147" s="20" t="n"/>
      <c r="CK147" s="20" t="n"/>
      <c r="CL147" s="20" t="n"/>
      <c r="CM147" s="20" t="n"/>
      <c r="CN147" s="20" t="n"/>
      <c r="CO147" s="20" t="n"/>
      <c r="CP147" s="20" t="n"/>
      <c r="CQ147" s="20" t="n"/>
      <c r="CR147" s="20" t="n"/>
      <c r="CS147" s="20" t="n"/>
      <c r="CT147" s="20" t="n"/>
      <c r="CU147" s="20" t="n"/>
      <c r="CV147" s="20" t="n"/>
      <c r="CW147" s="20" t="n"/>
      <c r="CX147" s="20" t="n"/>
      <c r="CY147" s="20" t="n"/>
      <c r="CZ147" s="20" t="n"/>
      <c r="DA147" s="20" t="n"/>
      <c r="DB147" s="20" t="n"/>
      <c r="DC147" s="20" t="n"/>
      <c r="DD147" s="20" t="n"/>
      <c r="DE147" s="20" t="n"/>
      <c r="DF147" s="20" t="n"/>
      <c r="DG147" s="20" t="n"/>
      <c r="DH147" s="20" t="n"/>
      <c r="DI147" s="20" t="n"/>
      <c r="DJ147" s="20" t="n"/>
      <c r="DK147" s="20" t="n"/>
      <c r="DL147" s="20" t="n"/>
      <c r="DM147" s="20" t="n"/>
      <c r="DN147" s="20" t="n"/>
      <c r="DO147" s="20" t="n"/>
      <c r="DP147" s="20" t="n"/>
      <c r="DQ147" s="20" t="n"/>
      <c r="DR147" s="20" t="n"/>
      <c r="DS147" s="20" t="n"/>
      <c r="DT147" s="20" t="n"/>
      <c r="DU147" s="20" t="n"/>
      <c r="DV147" s="24">
        <f>SUM(BC147:DS147)</f>
        <v/>
      </c>
      <c r="DW147" s="24">
        <f>DV147*AU147</f>
        <v/>
      </c>
      <c r="DX147" s="24">
        <f>DV147*AU147</f>
        <v/>
      </c>
      <c r="DY147" s="7">
        <f>DW147*AY147</f>
        <v/>
      </c>
      <c r="DZ147" s="23">
        <f>DY147*1.07</f>
        <v/>
      </c>
      <c r="EA147" s="22">
        <f>IFERROR(DY147/AZ147,0)</f>
        <v/>
      </c>
      <c r="EB147" s="20" t="n"/>
      <c r="EC147" s="20" t="n"/>
      <c r="ED147" s="20" t="n"/>
      <c r="EE147" s="20">
        <f>IF(EB147&lt;&gt;"",EB147*ED147,0)</f>
        <v/>
      </c>
      <c r="EF147" s="20">
        <f>DV147-EE147</f>
        <v/>
      </c>
      <c r="EG147" s="20">
        <f>EF147*AU147</f>
        <v/>
      </c>
      <c r="EH147" s="20">
        <f>EF147</f>
        <v/>
      </c>
      <c r="EI147" s="20">
        <f>IFERROR(EH147/DV147,0)</f>
        <v/>
      </c>
      <c r="EJ147" s="20">
        <f>IFERROR(EH147*AY147/1000,0)</f>
        <v/>
      </c>
      <c r="EK147" s="20">
        <f>EJ147*1.07</f>
        <v/>
      </c>
      <c r="EL147" s="25" t="n"/>
      <c r="EM147" s="20" t="n"/>
    </row>
    <row r="148" ht="12.75" customHeight="1">
      <c r="A148" s="42" t="inlineStr">
        <is>
          <t>Each</t>
        </is>
      </c>
      <c r="B148" s="46" t="n">
        <v>5</v>
      </c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0" t="n"/>
      <c r="AF148" s="20" t="n"/>
      <c r="AG148" s="20" t="n"/>
      <c r="AH148" s="20" t="n"/>
      <c r="AI148" s="20" t="n"/>
      <c r="AJ148" s="20" t="n"/>
      <c r="AK148" s="20" t="n"/>
      <c r="AL148" s="20" t="n"/>
      <c r="AM148" s="20" t="n"/>
      <c r="AN148" s="20" t="n"/>
      <c r="AO148" s="20" t="n"/>
      <c r="AP148" s="20" t="n"/>
      <c r="AQ148" s="24">
        <f>SUM(B148,F148:AO148)</f>
        <v/>
      </c>
      <c r="AR148" s="20" t="n"/>
      <c r="AS148" s="20" t="n"/>
      <c r="AT148" s="20" t="n"/>
      <c r="AU148" s="20" t="n"/>
      <c r="AV148" s="80" t="inlineStr">
        <is>
          <t>10" SILL SEAL</t>
        </is>
      </c>
      <c r="AW148" s="20" t="n"/>
      <c r="AX148" s="20" t="n"/>
      <c r="AY148" s="62" t="n">
        <v>7.25</v>
      </c>
      <c r="AZ148" s="7">
        <f>AQ148*AY148</f>
        <v/>
      </c>
      <c r="BA148" s="7">
        <f>AZ148*1.06</f>
        <v/>
      </c>
      <c r="BB148" s="24" t="n"/>
      <c r="BC148" s="24" t="n"/>
      <c r="BD148" s="24" t="n"/>
      <c r="BE148" s="24" t="n"/>
      <c r="BF148" s="20" t="n"/>
      <c r="BG148" s="20" t="n"/>
      <c r="BH148" s="20" t="n"/>
      <c r="BI148" s="20" t="n"/>
      <c r="BJ148" s="20" t="n"/>
      <c r="BK148" s="20" t="n"/>
      <c r="BL148" s="20" t="n"/>
      <c r="BM148" s="20" t="n"/>
      <c r="BN148" s="20" t="n"/>
      <c r="BO148" s="20" t="n"/>
      <c r="BP148" s="20" t="n"/>
      <c r="BQ148" s="20" t="n"/>
      <c r="BR148" s="20" t="n"/>
      <c r="BS148" s="20" t="n"/>
      <c r="BT148" s="20" t="n"/>
      <c r="BU148" s="20" t="n"/>
      <c r="BV148" s="20" t="n"/>
      <c r="BW148" s="20" t="n"/>
      <c r="BX148" s="20" t="n"/>
      <c r="BY148" s="20" t="n"/>
      <c r="BZ148" s="20" t="n"/>
      <c r="CA148" s="20" t="n"/>
      <c r="CB148" s="20" t="n"/>
      <c r="CC148" s="20" t="n"/>
      <c r="CD148" s="20" t="n"/>
      <c r="CE148" s="20" t="n"/>
      <c r="CF148" s="20" t="n"/>
      <c r="CG148" s="20" t="n"/>
      <c r="CH148" s="20" t="n"/>
      <c r="CI148" s="20" t="n"/>
      <c r="CJ148" s="20" t="n"/>
      <c r="CK148" s="20" t="n"/>
      <c r="CL148" s="20" t="n"/>
      <c r="CM148" s="20" t="n"/>
      <c r="CN148" s="20" t="n"/>
      <c r="CO148" s="20" t="n"/>
      <c r="CP148" s="20" t="n"/>
      <c r="CQ148" s="20" t="n"/>
      <c r="CR148" s="20" t="n"/>
      <c r="CS148" s="20" t="n"/>
      <c r="CT148" s="20" t="n"/>
      <c r="CU148" s="20" t="n"/>
      <c r="CV148" s="20" t="n"/>
      <c r="CW148" s="20" t="n"/>
      <c r="CX148" s="20" t="n"/>
      <c r="CY148" s="20" t="n"/>
      <c r="CZ148" s="20" t="n"/>
      <c r="DA148" s="20" t="n"/>
      <c r="DB148" s="20" t="n"/>
      <c r="DC148" s="20" t="n"/>
      <c r="DD148" s="20" t="n"/>
      <c r="DE148" s="20" t="n"/>
      <c r="DF148" s="20" t="n"/>
      <c r="DG148" s="20" t="n"/>
      <c r="DH148" s="20" t="n"/>
      <c r="DI148" s="20" t="n"/>
      <c r="DJ148" s="20" t="n"/>
      <c r="DK148" s="20" t="n"/>
      <c r="DL148" s="20" t="n"/>
      <c r="DM148" s="20" t="n"/>
      <c r="DN148" s="20" t="n"/>
      <c r="DO148" s="20" t="n"/>
      <c r="DP148" s="20" t="n"/>
      <c r="DQ148" s="20" t="n"/>
      <c r="DR148" s="20" t="n"/>
      <c r="DS148" s="20" t="n"/>
      <c r="DT148" s="20" t="n"/>
      <c r="DU148" s="20" t="n"/>
      <c r="DV148" s="24">
        <f>SUM(BC148:DS148)</f>
        <v/>
      </c>
      <c r="DW148" s="24">
        <f>DV148*AU148</f>
        <v/>
      </c>
      <c r="DX148" s="24">
        <f>DV148</f>
        <v/>
      </c>
      <c r="DY148" s="7">
        <f>DV148*AY148</f>
        <v/>
      </c>
      <c r="DZ148" s="23">
        <f>DY148*1.07</f>
        <v/>
      </c>
      <c r="EA148" s="22">
        <f>IFERROR(DY148/AZ148,0)</f>
        <v/>
      </c>
      <c r="EB148" s="20" t="n"/>
      <c r="EC148" s="20" t="n"/>
      <c r="ED148" s="20" t="n"/>
      <c r="EE148" s="20">
        <f>IF(EB148&lt;&gt;"",EB148*ED148,0)</f>
        <v/>
      </c>
      <c r="EF148" s="20">
        <f>DV148-EE148</f>
        <v/>
      </c>
      <c r="EG148" s="20">
        <f>EF148*AU148</f>
        <v/>
      </c>
      <c r="EH148" s="20">
        <f>EF148</f>
        <v/>
      </c>
      <c r="EI148" s="20">
        <f>IFERROR(EH148/DV148,0)</f>
        <v/>
      </c>
      <c r="EJ148" s="20">
        <f>IFERROR(EH148*AY148/1000,0)</f>
        <v/>
      </c>
      <c r="EK148" s="20">
        <f>EJ148*1.07</f>
        <v/>
      </c>
      <c r="EL148" s="25" t="n"/>
      <c r="EM148" s="20" t="n"/>
    </row>
    <row r="149" ht="12.75" customHeight="1">
      <c r="A149" s="42" t="inlineStr">
        <is>
          <t>Each</t>
        </is>
      </c>
      <c r="B149" s="46" t="n">
        <v>4</v>
      </c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  <c r="AG149" s="35" t="n"/>
      <c r="AH149" s="35" t="n"/>
      <c r="AI149" s="35" t="n"/>
      <c r="AJ149" s="35" t="n"/>
      <c r="AK149" s="35" t="n"/>
      <c r="AL149" s="35" t="n"/>
      <c r="AM149" s="35" t="n"/>
      <c r="AN149" s="35" t="n"/>
      <c r="AO149" s="35" t="n"/>
      <c r="AP149" s="35" t="n"/>
      <c r="AQ149" s="24">
        <f>SUM(B149,F149:AO149)</f>
        <v/>
      </c>
      <c r="AR149" s="35" t="n"/>
      <c r="AS149" s="35" t="n"/>
      <c r="AT149" s="35" t="n"/>
      <c r="AU149" s="35" t="n"/>
      <c r="AV149" s="79" t="inlineStr">
        <is>
          <t>6" SILL SEAL</t>
        </is>
      </c>
      <c r="AW149" s="35" t="n"/>
      <c r="AX149" s="35" t="n"/>
      <c r="AY149" s="62" t="n">
        <v>7.25</v>
      </c>
      <c r="AZ149" s="7">
        <f>AQ149*AY149</f>
        <v/>
      </c>
      <c r="BA149" s="7">
        <f>AZ149*1.06</f>
        <v/>
      </c>
      <c r="BB149" s="24" t="n">
        <v>68981029</v>
      </c>
      <c r="BC149" s="34" t="n"/>
      <c r="BD149" s="34" t="n"/>
      <c r="BE149" s="34" t="n"/>
      <c r="BF149" s="35" t="n"/>
      <c r="BG149" s="35" t="n"/>
      <c r="BH149" s="35" t="n"/>
      <c r="BI149" s="35" t="n"/>
      <c r="BJ149" s="34" t="n">
        <v>4</v>
      </c>
      <c r="BK149" s="34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  <c r="CO149" s="35" t="n"/>
      <c r="CP149" s="35" t="n"/>
      <c r="CQ149" s="35" t="n"/>
      <c r="CR149" s="35" t="n"/>
      <c r="CS149" s="35" t="n"/>
      <c r="CT149" s="35" t="n"/>
      <c r="CU149" s="35" t="n"/>
      <c r="CV149" s="35" t="n"/>
      <c r="CW149" s="35" t="n"/>
      <c r="CX149" s="35" t="n"/>
      <c r="CY149" s="35" t="n"/>
      <c r="CZ149" s="35" t="n"/>
      <c r="DA149" s="35" t="n"/>
      <c r="DB149" s="35" t="n"/>
      <c r="DC149" s="35" t="n"/>
      <c r="DD149" s="35" t="n"/>
      <c r="DE149" s="35" t="n"/>
      <c r="DF149" s="35" t="n"/>
      <c r="DG149" s="35" t="n"/>
      <c r="DH149" s="35" t="n"/>
      <c r="DI149" s="35" t="n"/>
      <c r="DJ149" s="35" t="n"/>
      <c r="DK149" s="35" t="n"/>
      <c r="DL149" s="35" t="n"/>
      <c r="DM149" s="35" t="n"/>
      <c r="DN149" s="35" t="n"/>
      <c r="DO149" s="35" t="n"/>
      <c r="DP149" s="35" t="n"/>
      <c r="DQ149" s="35" t="n"/>
      <c r="DR149" s="35" t="n"/>
      <c r="DS149" s="35" t="n"/>
      <c r="DT149" s="35" t="n"/>
      <c r="DU149" s="35" t="n"/>
      <c r="DV149" s="24">
        <f>SUM(BC149:DS149)</f>
        <v/>
      </c>
      <c r="DW149" s="24">
        <f>DV149*AU149</f>
        <v/>
      </c>
      <c r="DX149" s="24">
        <f>DV149</f>
        <v/>
      </c>
      <c r="DY149" s="7">
        <f>DV149*AY149</f>
        <v/>
      </c>
      <c r="DZ149" s="23">
        <f>DY149*1.07</f>
        <v/>
      </c>
      <c r="EA149" s="22">
        <f>IFERROR(DY149/AZ149,0)</f>
        <v/>
      </c>
      <c r="EB149" s="35" t="n"/>
      <c r="EC149" s="35" t="n"/>
      <c r="ED149" s="35" t="n"/>
      <c r="EE149" s="35">
        <f>IF(EB149&lt;&gt;"",EB149*ED149,0)</f>
        <v/>
      </c>
      <c r="EF149" s="35">
        <f>DV149-EE149</f>
        <v/>
      </c>
      <c r="EG149" s="35">
        <f>EF149*AU149</f>
        <v/>
      </c>
      <c r="EH149" s="35">
        <f>EF149</f>
        <v/>
      </c>
      <c r="EI149" s="35">
        <f>IFERROR(EH149/DV149,0)</f>
        <v/>
      </c>
      <c r="EJ149" s="35">
        <f>IFERROR(EH149*AY149/1000,0)</f>
        <v/>
      </c>
      <c r="EK149" s="35">
        <f>EJ149*1.07</f>
        <v/>
      </c>
      <c r="EL149" s="36" t="n"/>
      <c r="EM149" s="35" t="n"/>
    </row>
    <row r="150" ht="12.75" customHeight="1">
      <c r="A150" s="78" t="inlineStr">
        <is>
          <t>Panels</t>
        </is>
      </c>
      <c r="B150" s="46" t="n">
        <v>172</v>
      </c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0" t="n"/>
      <c r="AF150" s="20" t="n"/>
      <c r="AG150" s="20" t="n"/>
      <c r="AH150" s="20" t="n"/>
      <c r="AI150" s="20" t="n"/>
      <c r="AJ150" s="20" t="n"/>
      <c r="AK150" s="20" t="n"/>
      <c r="AL150" s="20" t="n"/>
      <c r="AM150" s="20" t="n"/>
      <c r="AN150" s="20" t="n"/>
      <c r="AO150" s="20" t="n"/>
      <c r="AP150" s="20" t="n"/>
      <c r="AQ150" s="24">
        <f>SUM(B150,F150:AO150)</f>
        <v/>
      </c>
      <c r="AR150" s="30" t="n">
        <v>4</v>
      </c>
      <c r="AS150" s="29" t="inlineStr">
        <is>
          <t>x</t>
        </is>
      </c>
      <c r="AT150" s="24" t="n">
        <v>8</v>
      </c>
      <c r="AU150" s="24" t="n"/>
      <c r="AV150" s="29" t="inlineStr">
        <is>
          <t>5/8" CDX Ply</t>
        </is>
      </c>
      <c r="AW150" s="20" t="n"/>
      <c r="AX150" s="20">
        <f>AQ150*AR150*AT150</f>
        <v/>
      </c>
      <c r="AY150" s="62" t="n">
        <v>635</v>
      </c>
      <c r="AZ150" s="7">
        <f>AX150*AY150/1000</f>
        <v/>
      </c>
      <c r="BA150" s="7">
        <f>AZ150*1.06</f>
        <v/>
      </c>
      <c r="BB150" s="20" t="n"/>
      <c r="BC150" s="20" t="n"/>
      <c r="BD150" s="20" t="n"/>
      <c r="BE150" s="20" t="n"/>
      <c r="BF150" s="20" t="n"/>
      <c r="BG150" s="20" t="n"/>
      <c r="BH150" s="20" t="n"/>
      <c r="BI150" s="20" t="n"/>
      <c r="BJ150" s="20" t="n"/>
      <c r="BK150" s="20" t="n"/>
      <c r="BL150" s="20" t="n"/>
      <c r="BM150" s="20" t="n"/>
      <c r="BN150" s="20" t="n"/>
      <c r="BO150" s="20" t="n"/>
      <c r="BP150" s="20" t="n"/>
      <c r="BQ150" s="20" t="n"/>
      <c r="BR150" s="20" t="n"/>
      <c r="BS150" s="20" t="n"/>
      <c r="BT150" s="20" t="n"/>
      <c r="BU150" s="20" t="n"/>
      <c r="BV150" s="20" t="n"/>
      <c r="BW150" s="20" t="n"/>
      <c r="BX150" s="20" t="n"/>
      <c r="BY150" s="20" t="n"/>
      <c r="BZ150" s="20" t="n"/>
      <c r="CA150" s="20" t="n"/>
      <c r="CB150" s="20" t="n"/>
      <c r="CC150" s="20" t="n"/>
      <c r="CD150" s="20" t="n"/>
      <c r="CE150" s="20" t="n"/>
      <c r="CF150" s="20" t="n"/>
      <c r="CG150" s="20" t="n"/>
      <c r="CH150" s="20" t="n"/>
      <c r="CI150" s="20" t="n"/>
      <c r="CJ150" s="20" t="n"/>
      <c r="CK150" s="20" t="n"/>
      <c r="CL150" s="20" t="n"/>
      <c r="CM150" s="20" t="n"/>
      <c r="CN150" s="20" t="n"/>
      <c r="CO150" s="20" t="n"/>
      <c r="CP150" s="20" t="n"/>
      <c r="CQ150" s="20" t="n"/>
      <c r="CR150" s="20" t="n"/>
      <c r="CS150" s="20" t="n"/>
      <c r="CT150" s="20" t="n"/>
      <c r="CU150" s="20" t="n"/>
      <c r="CV150" s="20" t="n"/>
      <c r="CW150" s="20" t="n"/>
      <c r="CX150" s="20" t="n"/>
      <c r="CY150" s="20" t="n"/>
      <c r="CZ150" s="20" t="n"/>
      <c r="DA150" s="20" t="n"/>
      <c r="DB150" s="20" t="n"/>
      <c r="DC150" s="20" t="n"/>
      <c r="DD150" s="20" t="n"/>
      <c r="DE150" s="20" t="n"/>
      <c r="DF150" s="20" t="n"/>
      <c r="DG150" s="20" t="n"/>
      <c r="DH150" s="20" t="n"/>
      <c r="DI150" s="20" t="n"/>
      <c r="DJ150" s="20" t="n"/>
      <c r="DK150" s="20" t="n"/>
      <c r="DL150" s="20" t="n"/>
      <c r="DM150" s="20" t="n"/>
      <c r="DN150" s="20" t="n"/>
      <c r="DO150" s="20" t="n"/>
      <c r="DP150" s="20" t="n"/>
      <c r="DQ150" s="20" t="n"/>
      <c r="DR150" s="20" t="n"/>
      <c r="DS150" s="20" t="n"/>
      <c r="DT150" s="20" t="n"/>
      <c r="DU150" s="20" t="n"/>
      <c r="DV150" s="24">
        <f>SUM(BC150:DS150)</f>
        <v/>
      </c>
      <c r="DW150" s="24">
        <f>DV150*AU150</f>
        <v/>
      </c>
      <c r="DX150" s="24">
        <f>DV150*AR150*AT150</f>
        <v/>
      </c>
      <c r="DY150" s="7">
        <f>DX150*AY150/1000</f>
        <v/>
      </c>
      <c r="DZ150" s="23">
        <f>DY150*1.07</f>
        <v/>
      </c>
      <c r="EA150" s="22">
        <f>IFERROR(DY150/AZ150,0)</f>
        <v/>
      </c>
      <c r="EB150" s="20" t="n"/>
      <c r="EC150" s="20" t="n"/>
      <c r="ED150" s="20" t="n"/>
      <c r="EE150" s="20">
        <f>IF(EB150&lt;&gt;"",EB150*ED150,0)</f>
        <v/>
      </c>
      <c r="EF150" s="20">
        <f>DV150-EE150</f>
        <v/>
      </c>
      <c r="EG150" s="20">
        <f>EF150*AU150</f>
        <v/>
      </c>
      <c r="EH150" s="20">
        <f>EF150*AR150*AT150</f>
        <v/>
      </c>
      <c r="EI150" s="20">
        <f>IFERROR(EH150/DV150,0)</f>
        <v/>
      </c>
      <c r="EJ150" s="20">
        <f>IFERROR(EH150*AY150/1000,0)</f>
        <v/>
      </c>
      <c r="EK150" s="20">
        <f>EJ150*1.07</f>
        <v/>
      </c>
      <c r="EL150" s="20" t="n"/>
      <c r="EM150" s="20" t="n"/>
    </row>
    <row r="151" ht="12.75" customHeight="1">
      <c r="A151" s="78" t="inlineStr">
        <is>
          <t>Panels</t>
        </is>
      </c>
      <c r="B151" s="46" t="n">
        <v>344</v>
      </c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  <c r="AI151" s="20" t="n"/>
      <c r="AJ151" s="20" t="n"/>
      <c r="AK151" s="20" t="n"/>
      <c r="AL151" s="20" t="n"/>
      <c r="AM151" s="20" t="n"/>
      <c r="AN151" s="20" t="n"/>
      <c r="AO151" s="20" t="n"/>
      <c r="AP151" s="20" t="n"/>
      <c r="AQ151" s="24">
        <f>SUM(B151,F151:AO151)</f>
        <v/>
      </c>
      <c r="AR151" s="30" t="n">
        <v>4</v>
      </c>
      <c r="AS151" s="29" t="inlineStr">
        <is>
          <t>X</t>
        </is>
      </c>
      <c r="AT151" s="24" t="n">
        <v>9</v>
      </c>
      <c r="AU151" s="24" t="n"/>
      <c r="AV151" s="356" t="inlineStr">
        <is>
          <t xml:space="preserve"> 7/16" OSB/PLY</t>
        </is>
      </c>
      <c r="AW151" s="20" t="n"/>
      <c r="AX151" s="20">
        <f>AQ151*AR151*AT151</f>
        <v/>
      </c>
      <c r="AY151" s="62" t="n">
        <v>415</v>
      </c>
      <c r="AZ151" s="7">
        <f>AX151*AY151/1000</f>
        <v/>
      </c>
      <c r="BA151" s="7">
        <f>AZ151*1.06</f>
        <v/>
      </c>
      <c r="BB151" s="24" t="n">
        <v>68981025</v>
      </c>
      <c r="BC151" s="24" t="n"/>
      <c r="BD151" s="24" t="n"/>
      <c r="BE151" s="24" t="n"/>
      <c r="BF151" s="20" t="n"/>
      <c r="BG151" s="20" t="n"/>
      <c r="BH151" s="20" t="n"/>
      <c r="BI151" s="20" t="n"/>
      <c r="BJ151" s="24" t="n">
        <v>688</v>
      </c>
      <c r="BK151" s="24" t="n"/>
      <c r="BL151" s="20" t="n"/>
      <c r="BM151" s="20" t="n"/>
      <c r="BN151" s="20" t="n"/>
      <c r="BO151" s="20" t="n"/>
      <c r="BP151" s="20" t="n"/>
      <c r="BQ151" s="20" t="n"/>
      <c r="BR151" s="20" t="n"/>
      <c r="BS151" s="20" t="n"/>
      <c r="BT151" s="20" t="n"/>
      <c r="BU151" s="20" t="n"/>
      <c r="BV151" s="20" t="n"/>
      <c r="BW151" s="20" t="n"/>
      <c r="BX151" s="20" t="n"/>
      <c r="BY151" s="20" t="n"/>
      <c r="BZ151" s="20" t="n"/>
      <c r="CA151" s="20" t="n"/>
      <c r="CB151" s="20" t="n"/>
      <c r="CC151" s="20" t="n"/>
      <c r="CD151" s="20" t="n"/>
      <c r="CE151" s="20" t="n"/>
      <c r="CF151" s="20" t="n"/>
      <c r="CG151" s="20" t="n"/>
      <c r="CH151" s="20" t="n"/>
      <c r="CI151" s="20" t="n"/>
      <c r="CJ151" s="20" t="n"/>
      <c r="CK151" s="20" t="n"/>
      <c r="CL151" s="20" t="n"/>
      <c r="CM151" s="20" t="n"/>
      <c r="CN151" s="20" t="n"/>
      <c r="CO151" s="20" t="n"/>
      <c r="CP151" s="20" t="n"/>
      <c r="CQ151" s="20" t="n"/>
      <c r="CR151" s="20" t="n"/>
      <c r="CS151" s="20" t="n"/>
      <c r="CT151" s="20" t="n"/>
      <c r="CU151" s="20" t="n"/>
      <c r="CV151" s="20" t="n"/>
      <c r="CW151" s="20" t="n"/>
      <c r="CX151" s="20" t="n"/>
      <c r="CY151" s="20" t="n"/>
      <c r="CZ151" s="20" t="n"/>
      <c r="DA151" s="20" t="n"/>
      <c r="DB151" s="20" t="n"/>
      <c r="DC151" s="20" t="n"/>
      <c r="DD151" s="20" t="n"/>
      <c r="DE151" s="20" t="n"/>
      <c r="DF151" s="20" t="n"/>
      <c r="DG151" s="20" t="n"/>
      <c r="DH151" s="20" t="n"/>
      <c r="DI151" s="20" t="n"/>
      <c r="DJ151" s="20" t="n"/>
      <c r="DK151" s="20" t="n"/>
      <c r="DL151" s="20" t="n"/>
      <c r="DM151" s="20" t="n"/>
      <c r="DN151" s="20" t="n"/>
      <c r="DO151" s="20" t="n"/>
      <c r="DP151" s="20" t="n"/>
      <c r="DQ151" s="20" t="n"/>
      <c r="DR151" s="20" t="n"/>
      <c r="DS151" s="20" t="n"/>
      <c r="DT151" s="20" t="n"/>
      <c r="DU151" s="20" t="n"/>
      <c r="DV151" s="24">
        <f>SUM(BC151:DS151)</f>
        <v/>
      </c>
      <c r="DW151" s="24">
        <f>DV151*AU151</f>
        <v/>
      </c>
      <c r="DX151" s="24">
        <f>DV151*AR151*AT151</f>
        <v/>
      </c>
      <c r="DY151" s="7">
        <f>DX151*AY151/1000</f>
        <v/>
      </c>
      <c r="DZ151" s="23">
        <f>DY151*1.07</f>
        <v/>
      </c>
      <c r="EA151" s="22">
        <f>IFERROR(DY151/AZ151,0)</f>
        <v/>
      </c>
      <c r="EB151" s="20" t="n"/>
      <c r="EC151" s="20" t="n"/>
      <c r="ED151" s="20" t="n"/>
      <c r="EE151" s="20">
        <f>IF(EB151&lt;&gt;"",EB151*ED151,0)</f>
        <v/>
      </c>
      <c r="EF151" s="20">
        <f>DV151-EE151</f>
        <v/>
      </c>
      <c r="EG151" s="20">
        <f>EF151*AU151</f>
        <v/>
      </c>
      <c r="EH151" s="20">
        <f>EF151*AR151*AT151</f>
        <v/>
      </c>
      <c r="EI151" s="20">
        <f>IFERROR(EH151/DV151,0)</f>
        <v/>
      </c>
      <c r="EJ151" s="20">
        <f>IFERROR(EH151*AY151/1000,0)</f>
        <v/>
      </c>
      <c r="EK151" s="20">
        <f>EJ151*1.07</f>
        <v/>
      </c>
      <c r="EL151" s="20" t="n"/>
      <c r="EM151" s="20" t="n"/>
    </row>
    <row r="152" ht="12.75" customHeight="1">
      <c r="A152" s="78" t="inlineStr">
        <is>
          <t>Panels</t>
        </is>
      </c>
      <c r="B152" s="46" t="n">
        <v>38</v>
      </c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0" t="n"/>
      <c r="AF152" s="20" t="n"/>
      <c r="AG152" s="20" t="n"/>
      <c r="AH152" s="20" t="n"/>
      <c r="AI152" s="20" t="n"/>
      <c r="AJ152" s="20" t="n"/>
      <c r="AK152" s="20" t="n"/>
      <c r="AL152" s="20" t="n"/>
      <c r="AM152" s="20" t="n"/>
      <c r="AN152" s="20" t="n"/>
      <c r="AO152" s="20" t="n"/>
      <c r="AP152" s="20" t="n"/>
      <c r="AQ152" s="24">
        <f>SUM(B152,F152:AO152)</f>
        <v/>
      </c>
      <c r="AR152" s="30" t="n">
        <v>4</v>
      </c>
      <c r="AS152" s="29" t="inlineStr">
        <is>
          <t>x</t>
        </is>
      </c>
      <c r="AT152" s="24" t="n">
        <v>8</v>
      </c>
      <c r="AU152" s="24" t="n"/>
      <c r="AV152" s="29" t="inlineStr">
        <is>
          <t>15/32" OSB/PLY</t>
        </is>
      </c>
      <c r="AW152" s="20" t="n"/>
      <c r="AX152" s="20">
        <f>AQ152*AR152*AT152</f>
        <v/>
      </c>
      <c r="AY152" s="62" t="n">
        <v>475</v>
      </c>
      <c r="AZ152" s="14">
        <f>AX152*AY152/1000</f>
        <v/>
      </c>
      <c r="BA152" s="14">
        <f>AZ152*1.06</f>
        <v/>
      </c>
      <c r="BB152" s="20" t="n"/>
      <c r="BC152" s="20" t="n"/>
      <c r="BD152" s="20" t="n"/>
      <c r="BE152" s="20" t="n"/>
      <c r="BF152" s="20" t="n"/>
      <c r="BG152" s="20" t="n"/>
      <c r="BH152" s="20" t="n"/>
      <c r="BI152" s="20" t="n"/>
      <c r="BJ152" s="20" t="n"/>
      <c r="BK152" s="20" t="n"/>
      <c r="BL152" s="20" t="n"/>
      <c r="BM152" s="20" t="n"/>
      <c r="BN152" s="20" t="n"/>
      <c r="BO152" s="20" t="n"/>
      <c r="BP152" s="20" t="n"/>
      <c r="BQ152" s="20" t="n"/>
      <c r="BR152" s="20" t="n"/>
      <c r="BS152" s="20" t="n"/>
      <c r="BT152" s="20" t="n"/>
      <c r="BU152" s="20" t="n"/>
      <c r="BV152" s="20" t="n"/>
      <c r="BW152" s="20" t="n"/>
      <c r="BX152" s="20" t="n"/>
      <c r="BY152" s="20" t="n"/>
      <c r="BZ152" s="20" t="n"/>
      <c r="CA152" s="20" t="n"/>
      <c r="CB152" s="20" t="n"/>
      <c r="CC152" s="20" t="n"/>
      <c r="CD152" s="20" t="n"/>
      <c r="CE152" s="20" t="n"/>
      <c r="CF152" s="20" t="n"/>
      <c r="CG152" s="20" t="n"/>
      <c r="CH152" s="20" t="n"/>
      <c r="CI152" s="20" t="n"/>
      <c r="CJ152" s="20" t="n"/>
      <c r="CK152" s="20" t="n"/>
      <c r="CL152" s="20" t="n"/>
      <c r="CM152" s="20" t="n"/>
      <c r="CN152" s="20" t="n"/>
      <c r="CO152" s="20" t="n"/>
      <c r="CP152" s="20" t="n"/>
      <c r="CQ152" s="20" t="n"/>
      <c r="CR152" s="20" t="n"/>
      <c r="CS152" s="20" t="n"/>
      <c r="CT152" s="20" t="n"/>
      <c r="CU152" s="20" t="n"/>
      <c r="CV152" s="20" t="n"/>
      <c r="CW152" s="20" t="n"/>
      <c r="CX152" s="20" t="n"/>
      <c r="CY152" s="20" t="n"/>
      <c r="CZ152" s="20" t="n"/>
      <c r="DA152" s="20" t="n"/>
      <c r="DB152" s="20" t="n"/>
      <c r="DC152" s="20" t="n"/>
      <c r="DD152" s="20" t="n"/>
      <c r="DE152" s="20" t="n"/>
      <c r="DF152" s="20" t="n"/>
      <c r="DG152" s="20" t="n"/>
      <c r="DH152" s="20" t="n"/>
      <c r="DI152" s="20" t="n"/>
      <c r="DJ152" s="20" t="n"/>
      <c r="DK152" s="20" t="n"/>
      <c r="DL152" s="20" t="n"/>
      <c r="DM152" s="20" t="n"/>
      <c r="DN152" s="20" t="n"/>
      <c r="DO152" s="20" t="n"/>
      <c r="DP152" s="20" t="n"/>
      <c r="DQ152" s="20" t="n"/>
      <c r="DR152" s="20" t="n"/>
      <c r="DS152" s="20" t="n"/>
      <c r="DT152" s="20" t="n"/>
      <c r="DU152" s="20" t="n"/>
      <c r="DV152" s="24">
        <f>SUM(BC152:DS152)</f>
        <v/>
      </c>
      <c r="DW152" s="24">
        <f>DV152*AU152</f>
        <v/>
      </c>
      <c r="DX152" s="24">
        <f>DV152*AR152*AT152</f>
        <v/>
      </c>
      <c r="DY152" s="7">
        <f>DX152*AY152/1000</f>
        <v/>
      </c>
      <c r="DZ152" s="23">
        <f>DY152*1.07</f>
        <v/>
      </c>
      <c r="EA152" s="22">
        <f>IFERROR(DY152/AZ152,0)</f>
        <v/>
      </c>
      <c r="EB152" s="20" t="n"/>
      <c r="EC152" s="20" t="n"/>
      <c r="ED152" s="20" t="n"/>
      <c r="EE152" s="20">
        <f>IF(EB152&lt;&gt;"",EB152*ED152,0)</f>
        <v/>
      </c>
      <c r="EF152" s="20">
        <f>DV152-EE152</f>
        <v/>
      </c>
      <c r="EG152" s="20">
        <f>EF152*AU152</f>
        <v/>
      </c>
      <c r="EH152" s="20">
        <f>EF152*AR152*AT152</f>
        <v/>
      </c>
      <c r="EI152" s="20">
        <f>IFERROR(EH152/DV152,0)</f>
        <v/>
      </c>
      <c r="EJ152" s="20">
        <f>IFERROR(EH152*AY152/1000,0)</f>
        <v/>
      </c>
      <c r="EK152" s="20">
        <f>EJ152*1.07</f>
        <v/>
      </c>
      <c r="EL152" s="20" t="n"/>
      <c r="EM152" s="20" t="n"/>
    </row>
    <row r="153" ht="12.75" customHeight="1">
      <c r="AZ153" s="51">
        <f>SUM(AZ123:AZ152)</f>
        <v/>
      </c>
      <c r="BA153" s="51">
        <f>SUM(BA123:BA152)</f>
        <v/>
      </c>
      <c r="DY153" s="51">
        <f>SUM(DY123:DY152)</f>
        <v/>
      </c>
      <c r="DZ153" s="51">
        <f>SUM(DZ123:DZ152)</f>
        <v/>
      </c>
    </row>
    <row r="155" ht="12.75" customHeight="1">
      <c r="AP155" s="382" t="inlineStr">
        <is>
          <t>House Wrap</t>
        </is>
      </c>
      <c r="AQ155" s="376" t="n"/>
      <c r="AR155" s="376" t="n"/>
      <c r="AS155" s="376" t="n"/>
      <c r="AT155" s="376" t="n"/>
      <c r="AU155" s="376" t="n"/>
      <c r="AV155" s="377" t="n"/>
    </row>
    <row r="156" ht="12.75" customHeight="1" thickBot="1">
      <c r="AP156" s="383" t="n"/>
      <c r="AV156" s="384" t="n"/>
    </row>
    <row r="157" ht="12.75" customHeight="1">
      <c r="A157" s="73" t="inlineStr">
        <is>
          <t>Each</t>
        </is>
      </c>
      <c r="B157" s="30" t="n"/>
      <c r="C157" s="30" t="n"/>
      <c r="D157" s="30" t="n">
        <v>12</v>
      </c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0" t="n"/>
      <c r="AC157" s="30" t="n"/>
      <c r="AD157" s="30" t="n"/>
      <c r="AE157" s="30" t="n"/>
      <c r="AF157" s="30" t="n"/>
      <c r="AG157" s="30" t="n"/>
      <c r="AH157" s="30" t="n"/>
      <c r="AI157" s="30" t="n"/>
      <c r="AJ157" s="30" t="n"/>
      <c r="AK157" s="30" t="n"/>
      <c r="AL157" s="30" t="n"/>
      <c r="AM157" s="30" t="n"/>
      <c r="AN157" s="30" t="n"/>
      <c r="AO157" s="24" t="n"/>
      <c r="AP157" s="24">
        <f>SUM(D157:AO157)</f>
        <v/>
      </c>
      <c r="AQ157" s="24">
        <f>SUM(B157:AO157)</f>
        <v/>
      </c>
      <c r="AR157" s="63" t="inlineStr">
        <is>
          <t xml:space="preserve"> </t>
        </is>
      </c>
      <c r="AS157" s="77" t="inlineStr">
        <is>
          <t xml:space="preserve"> </t>
        </is>
      </c>
      <c r="AT157" s="65" t="n"/>
      <c r="AU157" s="76" t="n"/>
      <c r="AV157" s="29" t="inlineStr">
        <is>
          <t>TOWER RESIDENTIAL SEALANT</t>
        </is>
      </c>
      <c r="AW157" s="24" t="n"/>
      <c r="AX157" s="24" t="n"/>
      <c r="AY157" s="62" t="n">
        <v>8.050000000000001</v>
      </c>
      <c r="AZ157" s="7">
        <f>AQ157*AY157</f>
        <v/>
      </c>
      <c r="BA157" s="7">
        <f>AZ157*1.06</f>
        <v/>
      </c>
      <c r="BB157" s="24" t="n">
        <v>68981005</v>
      </c>
      <c r="BC157" s="24" t="n">
        <v>24</v>
      </c>
      <c r="BD157" s="24" t="n"/>
      <c r="BE157" s="24" t="n"/>
      <c r="BF157" s="20" t="n"/>
      <c r="BG157" s="20" t="n"/>
      <c r="BH157" s="20" t="n"/>
      <c r="BI157" s="20" t="n"/>
      <c r="BJ157" s="24" t="n"/>
      <c r="BK157" s="24" t="n"/>
      <c r="BL157" s="24" t="n"/>
      <c r="BM157" s="24" t="n"/>
      <c r="BN157" s="24" t="n"/>
      <c r="BO157" s="24" t="n"/>
      <c r="BP157" s="24" t="n"/>
      <c r="BQ157" s="24" t="n"/>
      <c r="BR157" s="24" t="n"/>
      <c r="BS157" s="24" t="n"/>
      <c r="BT157" s="24" t="n"/>
      <c r="BU157" s="24" t="n"/>
      <c r="BV157" s="24" t="n"/>
      <c r="BW157" s="24" t="n"/>
      <c r="BX157" s="24" t="n"/>
      <c r="BY157" s="24" t="n"/>
      <c r="BZ157" s="24" t="n"/>
      <c r="CA157" s="24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n"/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n"/>
      <c r="DK157" s="24" t="n"/>
      <c r="DL157" s="24" t="n"/>
      <c r="DM157" s="24" t="n"/>
      <c r="DN157" s="24" t="n"/>
      <c r="DO157" s="24" t="n"/>
      <c r="DP157" s="24" t="n"/>
      <c r="DQ157" s="24" t="n"/>
      <c r="DR157" s="24" t="n"/>
      <c r="DS157" s="24" t="n"/>
      <c r="DT157" s="24" t="n"/>
      <c r="DU157" s="24" t="n"/>
      <c r="DV157" s="24">
        <f>SUM(BC157:DS157)</f>
        <v/>
      </c>
      <c r="DW157" s="24">
        <f>DV157*AU157</f>
        <v/>
      </c>
      <c r="DX157" s="24">
        <f>DV157</f>
        <v/>
      </c>
      <c r="DY157" s="7">
        <f>DV157*AY157</f>
        <v/>
      </c>
      <c r="DZ157" s="23">
        <f>DY157*1.07</f>
        <v/>
      </c>
      <c r="EA157" s="22">
        <f>IFERROR(DY157/AZ157,0)</f>
        <v/>
      </c>
      <c r="EB157" s="24" t="n"/>
      <c r="EC157" s="24" t="n"/>
      <c r="ED157" s="24" t="n"/>
      <c r="EE157" s="24">
        <f>IF(EB157&lt;&gt;"",EB157*ED157,0)</f>
        <v/>
      </c>
      <c r="EF157" s="24">
        <f>DV157-EE157</f>
        <v/>
      </c>
      <c r="EG157" s="24">
        <f>EF157*AU157</f>
        <v/>
      </c>
      <c r="EH157" s="24">
        <f>EF157</f>
        <v/>
      </c>
      <c r="EI157" s="24">
        <f>IFERROR(EH157/DV157,0)</f>
        <v/>
      </c>
      <c r="EJ157" s="24">
        <f>IFERROR(EH157*AY157/1000,0)</f>
        <v/>
      </c>
      <c r="EK157" s="24">
        <f>EJ157*1.07</f>
        <v/>
      </c>
      <c r="EL157" s="24" t="n"/>
      <c r="EM157" s="24" t="n"/>
      <c r="EN157" s="12" t="n"/>
    </row>
    <row r="158" ht="12.75" customHeight="1">
      <c r="A158" s="73" t="inlineStr">
        <is>
          <t>Each</t>
        </is>
      </c>
      <c r="B158" s="30" t="n"/>
      <c r="C158" s="30" t="n"/>
      <c r="D158" s="30" t="n">
        <v>8</v>
      </c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  <c r="AB158" s="30" t="n"/>
      <c r="AC158" s="30" t="n"/>
      <c r="AD158" s="30" t="n"/>
      <c r="AE158" s="30" t="n"/>
      <c r="AF158" s="30" t="n"/>
      <c r="AG158" s="30" t="n"/>
      <c r="AH158" s="30" t="n"/>
      <c r="AI158" s="30" t="n"/>
      <c r="AJ158" s="30" t="n"/>
      <c r="AK158" s="30" t="n"/>
      <c r="AL158" s="30" t="n"/>
      <c r="AM158" s="30" t="n"/>
      <c r="AN158" s="30" t="n"/>
      <c r="AO158" s="24" t="n"/>
      <c r="AP158" s="24">
        <f>SUM(D158:AO158)</f>
        <v/>
      </c>
      <c r="AQ158" s="24">
        <f>SUM(B158:AO158)</f>
        <v/>
      </c>
      <c r="AR158" s="63" t="inlineStr">
        <is>
          <t xml:space="preserve"> </t>
        </is>
      </c>
      <c r="AS158" s="72" t="inlineStr">
        <is>
          <t xml:space="preserve"> </t>
        </is>
      </c>
      <c r="AT158" s="34" t="n"/>
      <c r="AU158" s="43" t="n"/>
      <c r="AV158" s="29" t="inlineStr">
        <is>
          <t>6" TYVEK FLASHING TAPE</t>
        </is>
      </c>
      <c r="AW158" s="24" t="n"/>
      <c r="AX158" s="24" t="n"/>
      <c r="AY158" s="62" t="n">
        <v>63.05</v>
      </c>
      <c r="AZ158" s="7">
        <f>AQ158*AY158</f>
        <v/>
      </c>
      <c r="BA158" s="7">
        <f>AZ158*1.06</f>
        <v/>
      </c>
      <c r="BB158" s="24" t="n">
        <v>68981005</v>
      </c>
      <c r="BC158" s="24" t="n">
        <v>16</v>
      </c>
      <c r="BD158" s="24" t="n"/>
      <c r="BE158" s="24" t="n"/>
      <c r="BF158" s="20" t="n"/>
      <c r="BG158" s="20" t="n"/>
      <c r="BH158" s="20" t="n"/>
      <c r="BI158" s="20" t="n"/>
      <c r="BJ158" s="24" t="n"/>
      <c r="BK158" s="24" t="n"/>
      <c r="BL158" s="24" t="n"/>
      <c r="BM158" s="24" t="n"/>
      <c r="BN158" s="24" t="n"/>
      <c r="BO158" s="24" t="n"/>
      <c r="BP158" s="24" t="n"/>
      <c r="BQ158" s="24" t="n"/>
      <c r="BR158" s="24" t="n"/>
      <c r="BS158" s="24" t="n"/>
      <c r="BT158" s="24" t="n"/>
      <c r="BU158" s="24" t="n"/>
      <c r="BV158" s="24" t="n"/>
      <c r="BW158" s="24" t="n"/>
      <c r="BX158" s="24" t="n"/>
      <c r="BY158" s="24" t="n"/>
      <c r="BZ158" s="24" t="n"/>
      <c r="CA158" s="24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n"/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n"/>
      <c r="DK158" s="24" t="n"/>
      <c r="DL158" s="24" t="n"/>
      <c r="DM158" s="24" t="n"/>
      <c r="DN158" s="24" t="n"/>
      <c r="DO158" s="24" t="n"/>
      <c r="DP158" s="24" t="n"/>
      <c r="DQ158" s="24" t="n"/>
      <c r="DR158" s="24" t="n"/>
      <c r="DS158" s="24" t="n"/>
      <c r="DT158" s="24" t="n"/>
      <c r="DU158" s="24" t="n"/>
      <c r="DV158" s="24">
        <f>SUM(BC158:DS158)</f>
        <v/>
      </c>
      <c r="DW158" s="24">
        <f>DV158*AU158</f>
        <v/>
      </c>
      <c r="DX158" s="24">
        <f>DV158</f>
        <v/>
      </c>
      <c r="DY158" s="7">
        <f>DV158*AY158</f>
        <v/>
      </c>
      <c r="DZ158" s="23">
        <f>DY158*1.07</f>
        <v/>
      </c>
      <c r="EA158" s="22">
        <f>IFERROR(DY158/AZ158,0)</f>
        <v/>
      </c>
      <c r="EB158" s="24" t="n"/>
      <c r="EC158" s="24" t="n"/>
      <c r="ED158" s="24" t="n"/>
      <c r="EE158" s="24">
        <f>IF(EB158&lt;&gt;"",EB158*ED158,0)</f>
        <v/>
      </c>
      <c r="EF158" s="24">
        <f>DV158-EE158</f>
        <v/>
      </c>
      <c r="EG158" s="24">
        <f>EF158*AU158</f>
        <v/>
      </c>
      <c r="EH158" s="24">
        <f>EF158</f>
        <v/>
      </c>
      <c r="EI158" s="24">
        <f>IFERROR(EH158/DV158,0)</f>
        <v/>
      </c>
      <c r="EJ158" s="24">
        <f>IFERROR(EH158*AY158/1000,0)</f>
        <v/>
      </c>
      <c r="EK158" s="24">
        <f>EJ158*1.07</f>
        <v/>
      </c>
      <c r="EL158" s="24" t="n"/>
      <c r="EM158" s="24" t="n"/>
      <c r="EN158" s="12" t="n"/>
    </row>
    <row r="159" ht="12.75" customHeight="1">
      <c r="A159" s="73" t="inlineStr">
        <is>
          <t>Each</t>
        </is>
      </c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>
        <v>100</v>
      </c>
      <c r="W159" s="30" t="n"/>
      <c r="X159" s="30" t="n"/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24" t="n"/>
      <c r="AP159" s="24">
        <f>SUM(D159:AO159)</f>
        <v/>
      </c>
      <c r="AQ159" s="24">
        <f>SUM(B159:AO159)</f>
        <v/>
      </c>
      <c r="AR159" s="63" t="n"/>
      <c r="AS159" s="72" t="n"/>
      <c r="AT159" s="34" t="n"/>
      <c r="AU159" s="43" t="n"/>
      <c r="AV159" s="29" t="inlineStr">
        <is>
          <t>TYVEK FLUID COMPOUND</t>
        </is>
      </c>
      <c r="AW159" s="24" t="n"/>
      <c r="AX159" s="24" t="n"/>
      <c r="AY159" s="62" t="n">
        <v>37.5</v>
      </c>
      <c r="AZ159" s="7">
        <f>AQ159*AY159</f>
        <v/>
      </c>
      <c r="BA159" s="7">
        <f>AZ159*1.06</f>
        <v/>
      </c>
      <c r="BB159" s="24" t="n">
        <v>68981138</v>
      </c>
      <c r="BC159" s="24" t="n"/>
      <c r="BD159" s="24" t="n"/>
      <c r="BE159" s="24" t="n"/>
      <c r="BF159" s="20" t="n"/>
      <c r="BG159" s="20" t="n"/>
      <c r="BH159" s="20" t="n"/>
      <c r="BI159" s="20" t="n"/>
      <c r="BJ159" s="24" t="n"/>
      <c r="BK159" s="24" t="n"/>
      <c r="BL159" s="24" t="n"/>
      <c r="BM159" s="24" t="n"/>
      <c r="BN159" s="24" t="n"/>
      <c r="BO159" s="24" t="n"/>
      <c r="BP159" s="24" t="n"/>
      <c r="BQ159" s="24" t="n"/>
      <c r="BR159" s="24" t="n"/>
      <c r="BS159" s="24" t="n"/>
      <c r="BT159" s="24" t="n"/>
      <c r="BU159" s="24" t="n"/>
      <c r="BV159" s="24" t="n"/>
      <c r="BW159" s="24" t="n"/>
      <c r="BX159" s="24" t="n"/>
      <c r="BY159" s="24" t="n"/>
      <c r="BZ159" s="24" t="n"/>
      <c r="CA159" s="24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n"/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>
        <v>200</v>
      </c>
      <c r="DJ159" s="24" t="n"/>
      <c r="DK159" s="24" t="n"/>
      <c r="DL159" s="24" t="n"/>
      <c r="DM159" s="24" t="n"/>
      <c r="DN159" s="24" t="n"/>
      <c r="DO159" s="24" t="n"/>
      <c r="DP159" s="24" t="n"/>
      <c r="DQ159" s="24" t="n"/>
      <c r="DR159" s="24" t="n"/>
      <c r="DS159" s="24" t="n"/>
      <c r="DT159" s="24" t="n"/>
      <c r="DU159" s="24" t="n"/>
      <c r="DV159" s="24">
        <f>SUM(BC159:DS159)</f>
        <v/>
      </c>
      <c r="DW159" s="24">
        <f>DV159*AU159</f>
        <v/>
      </c>
      <c r="DX159" s="24">
        <f>DV159</f>
        <v/>
      </c>
      <c r="DY159" s="7">
        <f>DV159*AY159</f>
        <v/>
      </c>
      <c r="DZ159" s="23">
        <f>DY159*1.07</f>
        <v/>
      </c>
      <c r="EA159" s="22">
        <f>IFERROR(DY159/AZ159,0)</f>
        <v/>
      </c>
      <c r="EB159" s="24" t="n"/>
      <c r="EC159" s="24" t="n"/>
      <c r="ED159" s="24" t="n"/>
      <c r="EE159" s="24">
        <f>IF(EB159&lt;&gt;"",EB159*ED159,0)</f>
        <v/>
      </c>
      <c r="EF159" s="24">
        <f>DV159-EE159</f>
        <v/>
      </c>
      <c r="EG159" s="24">
        <f>EF159*AU159</f>
        <v/>
      </c>
      <c r="EH159" s="24">
        <f>EF159</f>
        <v/>
      </c>
      <c r="EI159" s="24">
        <f>IFERROR(EH159/DV159,0)</f>
        <v/>
      </c>
      <c r="EJ159" s="24">
        <f>IFERROR(EH159*AY159/1000,0)</f>
        <v/>
      </c>
      <c r="EK159" s="24">
        <f>EJ159*1.07</f>
        <v/>
      </c>
      <c r="EL159" s="24" t="n"/>
      <c r="EM159" s="24" t="n"/>
      <c r="EN159" s="12" t="n"/>
    </row>
    <row r="160" ht="12.75" customHeight="1">
      <c r="A160" s="73" t="inlineStr">
        <is>
          <t>Each</t>
        </is>
      </c>
      <c r="B160" s="30" t="n"/>
      <c r="C160" s="30" t="n"/>
      <c r="D160" s="30" t="n">
        <v>1</v>
      </c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0" t="n"/>
      <c r="AK160" s="30" t="n"/>
      <c r="AL160" s="30" t="n"/>
      <c r="AM160" s="30" t="n"/>
      <c r="AN160" s="30" t="n"/>
      <c r="AO160" s="24" t="n"/>
      <c r="AP160" s="24">
        <f>SUM(D160:AO160)</f>
        <v/>
      </c>
      <c r="AQ160" s="24">
        <f>SUM(B160:AO160)</f>
        <v/>
      </c>
      <c r="AR160" s="63" t="inlineStr">
        <is>
          <t xml:space="preserve"> </t>
        </is>
      </c>
      <c r="AS160" s="75" t="inlineStr">
        <is>
          <t xml:space="preserve"> </t>
        </is>
      </c>
      <c r="AT160" s="24" t="n"/>
      <c r="AU160" s="74" t="n"/>
      <c r="AV160" s="29" t="inlineStr">
        <is>
          <t>9"X75' TYVEK FLEX TAPE</t>
        </is>
      </c>
      <c r="AW160" s="24" t="n"/>
      <c r="AX160" s="24" t="n"/>
      <c r="AY160" s="62" t="n">
        <v>198.15</v>
      </c>
      <c r="AZ160" s="7">
        <f>AQ160*AY160</f>
        <v/>
      </c>
      <c r="BA160" s="7">
        <f>AZ160*1.06</f>
        <v/>
      </c>
      <c r="BB160" s="24" t="n">
        <v>68981005</v>
      </c>
      <c r="BC160" s="24" t="n">
        <v>2</v>
      </c>
      <c r="BD160" s="24" t="n"/>
      <c r="BE160" s="24" t="n"/>
      <c r="BF160" s="24" t="n"/>
      <c r="BG160" s="24" t="n"/>
      <c r="BH160" s="24" t="n"/>
      <c r="BI160" s="24" t="n"/>
      <c r="BJ160" s="24" t="n"/>
      <c r="BK160" s="24" t="n"/>
      <c r="BL160" s="24" t="n"/>
      <c r="BM160" s="24" t="n"/>
      <c r="BN160" s="24" t="n"/>
      <c r="BO160" s="24" t="n"/>
      <c r="BP160" s="24" t="n"/>
      <c r="BQ160" s="24" t="n"/>
      <c r="BR160" s="24" t="n"/>
      <c r="BS160" s="24" t="n"/>
      <c r="BT160" s="24" t="n"/>
      <c r="BU160" s="24" t="n"/>
      <c r="BV160" s="24" t="n"/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n"/>
      <c r="DK160" s="24" t="n"/>
      <c r="DL160" s="24" t="n"/>
      <c r="DM160" s="24" t="n"/>
      <c r="DN160" s="24" t="n"/>
      <c r="DO160" s="24" t="n"/>
      <c r="DP160" s="24" t="n"/>
      <c r="DQ160" s="24" t="n"/>
      <c r="DR160" s="24" t="n"/>
      <c r="DS160" s="24" t="n"/>
      <c r="DT160" s="24" t="n"/>
      <c r="DU160" s="24" t="n"/>
      <c r="DV160" s="24">
        <f>SUM(BC160:DS160)</f>
        <v/>
      </c>
      <c r="DW160" s="24">
        <f>DV160*AU160</f>
        <v/>
      </c>
      <c r="DX160" s="24">
        <f>DV160</f>
        <v/>
      </c>
      <c r="DY160" s="7">
        <f>DV160*AY160</f>
        <v/>
      </c>
      <c r="DZ160" s="23">
        <f>DY160*1.07</f>
        <v/>
      </c>
      <c r="EA160" s="22">
        <f>IFERROR(DY160/AZ160,0)</f>
        <v/>
      </c>
      <c r="EB160" s="24" t="n"/>
      <c r="EC160" s="24" t="n"/>
      <c r="ED160" s="24" t="n"/>
      <c r="EE160" s="24">
        <f>IF(EB160&lt;&gt;"",EB160*ED160,0)</f>
        <v/>
      </c>
      <c r="EF160" s="24">
        <f>DV160-EE160</f>
        <v/>
      </c>
      <c r="EG160" s="24">
        <f>EF160*AU160</f>
        <v/>
      </c>
      <c r="EH160" s="24">
        <f>EF160</f>
        <v/>
      </c>
      <c r="EI160" s="24">
        <f>IFERROR(EH160/DV160,0)</f>
        <v/>
      </c>
      <c r="EJ160" s="24">
        <f>IFERROR(EH160*AY160/1000,0)</f>
        <v/>
      </c>
      <c r="EK160" s="24">
        <f>EJ160*1.07</f>
        <v/>
      </c>
      <c r="EL160" s="24" t="n"/>
      <c r="EM160" s="24" t="n"/>
      <c r="EN160" s="12" t="n"/>
    </row>
    <row r="161" ht="33" customHeight="1">
      <c r="A161" s="73" t="inlineStr">
        <is>
          <t>Each</t>
        </is>
      </c>
      <c r="B161" s="30" t="n"/>
      <c r="C161" s="30" t="n"/>
      <c r="D161" s="30" t="n">
        <v>1</v>
      </c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>
        <v>212</v>
      </c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30" t="n"/>
      <c r="AD161" s="30" t="n">
        <v>168</v>
      </c>
      <c r="AE161" s="30" t="n"/>
      <c r="AF161" s="30" t="n"/>
      <c r="AG161" s="30" t="n"/>
      <c r="AH161" s="30" t="n"/>
      <c r="AI161" s="30" t="n"/>
      <c r="AJ161" s="30" t="n"/>
      <c r="AK161" s="30" t="n"/>
      <c r="AL161" s="30" t="n"/>
      <c r="AM161" s="30" t="n"/>
      <c r="AN161" s="30" t="n"/>
      <c r="AO161" s="24" t="n"/>
      <c r="AP161" s="24">
        <f>SUM(D161:AO161)</f>
        <v/>
      </c>
      <c r="AQ161" s="24">
        <f>SUM(B161:AO161)</f>
        <v/>
      </c>
      <c r="AR161" s="63" t="n"/>
      <c r="AS161" s="72" t="n"/>
      <c r="AT161" s="34" t="n"/>
      <c r="AU161" s="43" t="n"/>
      <c r="AV161" s="29" t="inlineStr">
        <is>
          <t>TYVEK COMMERCIAL WRAP D</t>
        </is>
      </c>
      <c r="AW161" s="24" t="n"/>
      <c r="AX161" s="24" t="n"/>
      <c r="AY161" s="62" t="n">
        <v>365</v>
      </c>
      <c r="AZ161" s="7">
        <f>AQ161*AY161</f>
        <v/>
      </c>
      <c r="BA161" s="7">
        <f>AZ161*1.06</f>
        <v/>
      </c>
      <c r="BB161" s="53" t="inlineStr">
        <is>
          <t>68981077
68981005 
68981168</t>
        </is>
      </c>
      <c r="BC161" s="24" t="n">
        <v>2</v>
      </c>
      <c r="BD161" s="24" t="n"/>
      <c r="BE161" s="24" t="n"/>
      <c r="BF161" s="24" t="n"/>
      <c r="BG161" s="24" t="n"/>
      <c r="BH161" s="24" t="n"/>
      <c r="BI161" s="24" t="n"/>
      <c r="BJ161" s="24" t="n"/>
      <c r="BK161" s="24" t="n"/>
      <c r="BL161" s="24" t="n"/>
      <c r="BM161" s="24" t="n"/>
      <c r="BN161" s="24" t="n"/>
      <c r="BO161" s="24" t="n"/>
      <c r="BP161" s="24" t="n"/>
      <c r="BQ161" s="24" t="n"/>
      <c r="BR161" s="24" t="n"/>
      <c r="BS161" s="24" t="n"/>
      <c r="BT161" s="24" t="n"/>
      <c r="BU161" s="24" t="n"/>
      <c r="BV161" s="24" t="n">
        <v>400</v>
      </c>
      <c r="BW161" s="24" t="n"/>
      <c r="BX161" s="24" t="n"/>
      <c r="BY161" s="24" t="n"/>
      <c r="BZ161" s="24" t="n"/>
      <c r="CA161" s="24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n"/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>
        <f>180</f>
        <v/>
      </c>
      <c r="DG161" s="24" t="n"/>
      <c r="DH161" s="24" t="n"/>
      <c r="DI161" s="24" t="n"/>
      <c r="DJ161" s="24" t="n"/>
      <c r="DK161" s="24" t="n"/>
      <c r="DL161" s="24" t="n"/>
      <c r="DM161" s="24" t="n"/>
      <c r="DN161" s="24" t="n"/>
      <c r="DO161" s="24" t="n"/>
      <c r="DP161" s="24" t="n"/>
      <c r="DQ161" s="24" t="n"/>
      <c r="DR161" s="24" t="n"/>
      <c r="DS161" s="24" t="n"/>
      <c r="DT161" s="24" t="n"/>
      <c r="DU161" s="24" t="n"/>
      <c r="DV161" s="24">
        <f>SUM(BC161:DS161)</f>
        <v/>
      </c>
      <c r="DW161" s="24">
        <f>DV161*AU161</f>
        <v/>
      </c>
      <c r="DX161" s="24">
        <f>DV161</f>
        <v/>
      </c>
      <c r="DY161" s="7">
        <f>DV161*AY161</f>
        <v/>
      </c>
      <c r="DZ161" s="23">
        <f>DY161*1.07</f>
        <v/>
      </c>
      <c r="EA161" s="22">
        <f>IFERROR(DY161/AZ161,0)</f>
        <v/>
      </c>
      <c r="EB161" s="24" t="n"/>
      <c r="EC161" s="24" t="n"/>
      <c r="ED161" s="24" t="n"/>
      <c r="EE161" s="24">
        <f>IF(EB161&lt;&gt;"",EB161*ED161,0)</f>
        <v/>
      </c>
      <c r="EF161" s="24">
        <f>DV161-EE161</f>
        <v/>
      </c>
      <c r="EG161" s="24">
        <f>EF161*AU161</f>
        <v/>
      </c>
      <c r="EH161" s="24">
        <f>EF161</f>
        <v/>
      </c>
      <c r="EI161" s="24">
        <f>IFERROR(EH161/DV161,0)</f>
        <v/>
      </c>
      <c r="EJ161" s="24">
        <f>IFERROR(EH161*AY161/1000,0)</f>
        <v/>
      </c>
      <c r="EK161" s="24">
        <f>EJ161*1.07</f>
        <v/>
      </c>
      <c r="EL161" s="24" t="n"/>
      <c r="EM161" s="24" t="n"/>
      <c r="EN161" s="12" t="n"/>
    </row>
    <row r="162" ht="12.75" customHeight="1">
      <c r="A162" s="64" t="inlineStr">
        <is>
          <t>Each</t>
        </is>
      </c>
      <c r="B162" s="355" t="n"/>
      <c r="C162" s="355" t="n"/>
      <c r="D162" s="355" t="n"/>
      <c r="E162" s="355" t="n"/>
      <c r="F162" s="355" t="n"/>
      <c r="G162" s="355" t="n"/>
      <c r="H162" s="355" t="n"/>
      <c r="I162" s="355" t="n"/>
      <c r="J162" s="355" t="n"/>
      <c r="K162" s="355" t="n"/>
      <c r="L162" s="355" t="n"/>
      <c r="M162" s="355" t="n"/>
      <c r="N162" s="355" t="n">
        <v>-212</v>
      </c>
      <c r="O162" s="355" t="n"/>
      <c r="P162" s="355" t="n"/>
      <c r="Q162" s="355" t="n"/>
      <c r="R162" s="355" t="n"/>
      <c r="S162" s="355" t="n"/>
      <c r="T162" s="355" t="n"/>
      <c r="U162" s="355" t="n"/>
      <c r="V162" s="355" t="n"/>
      <c r="W162" s="355" t="n"/>
      <c r="X162" s="355" t="n"/>
      <c r="Y162" s="355" t="n"/>
      <c r="Z162" s="355" t="n"/>
      <c r="AA162" s="355" t="n"/>
      <c r="AB162" s="355" t="n"/>
      <c r="AC162" s="355" t="n"/>
      <c r="AD162" s="355" t="n"/>
      <c r="AE162" s="355" t="n"/>
      <c r="AF162" s="355" t="n"/>
      <c r="AG162" s="355" t="n"/>
      <c r="AH162" s="355" t="n"/>
      <c r="AI162" s="355" t="n"/>
      <c r="AJ162" s="355" t="n"/>
      <c r="AK162" s="355" t="n"/>
      <c r="AL162" s="355" t="n"/>
      <c r="AM162" s="355" t="n"/>
      <c r="AN162" s="355" t="n"/>
      <c r="AO162" s="65" t="n"/>
      <c r="AP162" s="65">
        <f>SUM(D162:AO162)</f>
        <v/>
      </c>
      <c r="AQ162" s="65">
        <f>SUM(B162:AO162)</f>
        <v/>
      </c>
      <c r="AR162" s="70" t="n"/>
      <c r="AS162" s="63" t="n"/>
      <c r="AT162" s="24" t="n"/>
      <c r="AU162" s="24" t="n"/>
      <c r="AV162" s="357" t="inlineStr">
        <is>
          <t xml:space="preserve">TYVEK COMMERCIAL WRAP </t>
        </is>
      </c>
      <c r="AW162" s="65" t="n"/>
      <c r="AX162" s="65" t="n"/>
      <c r="AY162" s="69" t="n">
        <v>323</v>
      </c>
      <c r="AZ162" s="68">
        <f>AQ162*AY162</f>
        <v/>
      </c>
      <c r="BA162" s="68">
        <f>AZ162*1.06</f>
        <v/>
      </c>
      <c r="BB162" s="65" t="n"/>
      <c r="BC162" s="65" t="n"/>
      <c r="BD162" s="65" t="n"/>
      <c r="BE162" s="65" t="n"/>
      <c r="BF162" s="65" t="n"/>
      <c r="BG162" s="65" t="n"/>
      <c r="BH162" s="65" t="n"/>
      <c r="BI162" s="65" t="n"/>
      <c r="BJ162" s="65" t="n"/>
      <c r="BK162" s="65" t="n"/>
      <c r="BL162" s="65" t="n"/>
      <c r="BM162" s="65" t="n"/>
      <c r="BN162" s="65" t="n"/>
      <c r="BO162" s="65" t="n"/>
      <c r="BP162" s="65" t="n"/>
      <c r="BQ162" s="65" t="n"/>
      <c r="BR162" s="65" t="n"/>
      <c r="BS162" s="65" t="n"/>
      <c r="BT162" s="65" t="n"/>
      <c r="BU162" s="65" t="n"/>
      <c r="BV162" s="65" t="n"/>
      <c r="BW162" s="65" t="n"/>
      <c r="BX162" s="65" t="n"/>
      <c r="BY162" s="65" t="n"/>
      <c r="BZ162" s="65" t="n"/>
      <c r="CA162" s="65" t="n"/>
      <c r="CB162" s="65" t="n"/>
      <c r="CC162" s="65" t="n"/>
      <c r="CD162" s="65" t="n"/>
      <c r="CE162" s="65" t="n"/>
      <c r="CF162" s="65" t="n"/>
      <c r="CG162" s="65" t="n"/>
      <c r="CH162" s="65" t="n"/>
      <c r="CI162" s="65" t="n"/>
      <c r="CJ162" s="65" t="n"/>
      <c r="CK162" s="65" t="n"/>
      <c r="CL162" s="65" t="n"/>
      <c r="CM162" s="65" t="n"/>
      <c r="CN162" s="65" t="n"/>
      <c r="CO162" s="65" t="n"/>
      <c r="CP162" s="65" t="n"/>
      <c r="CQ162" s="65" t="n"/>
      <c r="CR162" s="65" t="n"/>
      <c r="CS162" s="65" t="n"/>
      <c r="CT162" s="65" t="n"/>
      <c r="CU162" s="65" t="n"/>
      <c r="CV162" s="65" t="n"/>
      <c r="CW162" s="65" t="n"/>
      <c r="CX162" s="65" t="n"/>
      <c r="CY162" s="65" t="n"/>
      <c r="CZ162" s="65" t="n"/>
      <c r="DA162" s="65" t="n"/>
      <c r="DB162" s="65" t="n"/>
      <c r="DC162" s="65" t="n"/>
      <c r="DD162" s="65" t="n"/>
      <c r="DE162" s="65" t="n"/>
      <c r="DF162" s="65" t="n"/>
      <c r="DG162" s="65" t="n"/>
      <c r="DH162" s="65" t="n"/>
      <c r="DI162" s="65" t="n"/>
      <c r="DJ162" s="65" t="n"/>
      <c r="DK162" s="65" t="n"/>
      <c r="DL162" s="65" t="n"/>
      <c r="DM162" s="65" t="n"/>
      <c r="DN162" s="65" t="n"/>
      <c r="DO162" s="65" t="n"/>
      <c r="DP162" s="65" t="n"/>
      <c r="DQ162" s="65" t="n"/>
      <c r="DR162" s="65" t="n"/>
      <c r="DS162" s="65" t="n"/>
      <c r="DT162" s="65" t="n"/>
      <c r="DU162" s="65" t="n"/>
      <c r="DV162" s="65">
        <f>SUM(BC162:DS162)</f>
        <v/>
      </c>
      <c r="DW162" s="65">
        <f>DV162*AU162</f>
        <v/>
      </c>
      <c r="DX162" s="65">
        <f>DV162</f>
        <v/>
      </c>
      <c r="DY162" s="68">
        <f>DV162*AY162</f>
        <v/>
      </c>
      <c r="DZ162" s="67">
        <f>DY162*1.07</f>
        <v/>
      </c>
      <c r="EA162" s="66">
        <f>IFERROR(DY162/AZ162,0)</f>
        <v/>
      </c>
      <c r="EB162" s="65" t="n"/>
      <c r="EC162" s="65" t="n"/>
      <c r="ED162" s="65" t="n"/>
      <c r="EE162" s="65">
        <f>IF(EB162&lt;&gt;"",EB162*ED162,0)</f>
        <v/>
      </c>
      <c r="EF162" s="65">
        <f>DV162-EE162</f>
        <v/>
      </c>
      <c r="EG162" s="65">
        <f>EF162*AU162</f>
        <v/>
      </c>
      <c r="EH162" s="65">
        <f>EF162</f>
        <v/>
      </c>
      <c r="EI162" s="65">
        <f>IFERROR(EH162/DV162,0)</f>
        <v/>
      </c>
      <c r="EJ162" s="65">
        <f>IFERROR(EH162*AY162/1000,0)</f>
        <v/>
      </c>
      <c r="EK162" s="65">
        <f>EJ162*1.07</f>
        <v/>
      </c>
      <c r="EL162" s="65" t="n"/>
      <c r="EM162" s="65" t="n"/>
      <c r="EN162" s="12" t="n"/>
    </row>
    <row r="163" ht="34.9" customHeight="1">
      <c r="A163" s="64" t="inlineStr">
        <is>
          <t>Each</t>
        </is>
      </c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>
        <v>200</v>
      </c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>
        <v>100</v>
      </c>
      <c r="AD163" s="30" t="n"/>
      <c r="AE163" s="30" t="n"/>
      <c r="AF163" s="30" t="n"/>
      <c r="AG163" s="30" t="n"/>
      <c r="AH163" s="30" t="n"/>
      <c r="AI163" s="30" t="n">
        <v>100</v>
      </c>
      <c r="AJ163" s="30" t="n"/>
      <c r="AK163" s="30" t="n"/>
      <c r="AL163" s="30" t="n"/>
      <c r="AM163" s="30" t="n"/>
      <c r="AN163" s="30" t="n">
        <v>500</v>
      </c>
      <c r="AO163" s="24" t="n"/>
      <c r="AP163" s="24">
        <f>SUM(D163:AO163)</f>
        <v/>
      </c>
      <c r="AQ163" s="24">
        <f>SUM(B163:AO163)</f>
        <v/>
      </c>
      <c r="AR163" s="63" t="n"/>
      <c r="AS163" s="63" t="n"/>
      <c r="AT163" s="24" t="n"/>
      <c r="AU163" s="24" t="n"/>
      <c r="AV163" s="29" t="inlineStr">
        <is>
          <t>MTL HD HEAD FLASHING</t>
        </is>
      </c>
      <c r="AW163" s="24" t="n"/>
      <c r="AX163" s="24" t="n"/>
      <c r="AY163" s="62" t="n">
        <v>10.55</v>
      </c>
      <c r="AZ163" s="7">
        <f>AQ163*AY163</f>
        <v/>
      </c>
      <c r="BA163" s="7">
        <f>AZ163*1.06</f>
        <v/>
      </c>
      <c r="BB163" s="56" t="inlineStr">
        <is>
          <t>68981076
68981166
68981176</t>
        </is>
      </c>
      <c r="BC163" s="24" t="n"/>
      <c r="BD163" s="24" t="n"/>
      <c r="BE163" s="24" t="n"/>
      <c r="BF163" s="24" t="n"/>
      <c r="BG163" s="24" t="n"/>
      <c r="BH163" s="24" t="n"/>
      <c r="BI163" s="24" t="n"/>
      <c r="BJ163" s="24" t="n"/>
      <c r="BK163" s="24" t="n"/>
      <c r="BL163" s="24" t="n"/>
      <c r="BM163" s="24" t="n"/>
      <c r="BN163" s="24" t="n"/>
      <c r="BO163" s="24" t="n"/>
      <c r="BP163" s="24" t="n"/>
      <c r="BQ163" s="24" t="n"/>
      <c r="BR163" s="24" t="n"/>
      <c r="BS163" s="24" t="n"/>
      <c r="BT163" s="24" t="n"/>
      <c r="BU163" s="24" t="n"/>
      <c r="BV163" s="24" t="n"/>
      <c r="BW163" s="24" t="n"/>
      <c r="BX163" s="24" t="n"/>
      <c r="BY163" s="24" t="n"/>
      <c r="BZ163" s="24" t="n"/>
      <c r="CA163" s="24" t="n">
        <v>400</v>
      </c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n"/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>
        <v>200</v>
      </c>
      <c r="DJ163" s="24" t="n"/>
      <c r="DK163" s="24" t="n"/>
      <c r="DL163" s="24" t="n"/>
      <c r="DM163" s="24" t="n"/>
      <c r="DN163" s="24" t="n"/>
      <c r="DO163" s="24" t="n"/>
      <c r="DP163" s="24" t="n">
        <v>200</v>
      </c>
      <c r="DQ163" s="24" t="n"/>
      <c r="DR163" s="24" t="n"/>
      <c r="DS163" s="24" t="n"/>
      <c r="DT163" s="24" t="n"/>
      <c r="DU163" s="24" t="n"/>
      <c r="DV163" s="24">
        <f>SUM(BC163:DS163)</f>
        <v/>
      </c>
      <c r="DW163" s="24">
        <f>DV163*AU163</f>
        <v/>
      </c>
      <c r="DX163" s="24">
        <f>DV163</f>
        <v/>
      </c>
      <c r="DY163" s="14">
        <f>DV163*AY163</f>
        <v/>
      </c>
      <c r="DZ163" s="60">
        <f>DY163*1.07</f>
        <v/>
      </c>
      <c r="EA163" s="32">
        <f>IFERROR(DY163/AZ163,0)</f>
        <v/>
      </c>
      <c r="EB163" s="24" t="n"/>
      <c r="EC163" s="24" t="n"/>
      <c r="ED163" s="24" t="n"/>
      <c r="EE163" s="24">
        <f>IF(EB163&lt;&gt;"",EB163*ED163,0)</f>
        <v/>
      </c>
      <c r="EF163" s="24">
        <f>DV163-EE163</f>
        <v/>
      </c>
      <c r="EG163" s="24">
        <f>EF163*AU163</f>
        <v/>
      </c>
      <c r="EH163" s="24">
        <f>EF163</f>
        <v/>
      </c>
      <c r="EI163" s="24">
        <f>IFERROR(EH163/DV163,0)</f>
        <v/>
      </c>
      <c r="EJ163" s="24">
        <f>IFERROR(EH163*AY163/1000,0)</f>
        <v/>
      </c>
      <c r="EK163" s="24">
        <f>EJ163*1.07</f>
        <v/>
      </c>
      <c r="EL163" s="24" t="n"/>
      <c r="EM163" s="24" t="n"/>
      <c r="EN163" s="12" t="n"/>
    </row>
    <row r="164" ht="23.25" customFormat="1" customHeight="1" s="12">
      <c r="A164" s="61" t="n"/>
      <c r="B164" s="354" t="n"/>
      <c r="C164" s="354" t="n"/>
      <c r="D164" s="354" t="n"/>
      <c r="E164" s="354" t="n"/>
      <c r="F164" s="354" t="n"/>
      <c r="G164" s="354" t="n"/>
      <c r="H164" s="354" t="n"/>
      <c r="I164" s="354" t="n"/>
      <c r="J164" s="354" t="n"/>
      <c r="K164" s="354" t="n"/>
      <c r="L164" s="354" t="n"/>
      <c r="M164" s="354" t="n"/>
      <c r="N164" s="354" t="n"/>
      <c r="O164" s="354" t="n"/>
      <c r="P164" s="354" t="n"/>
      <c r="Q164" s="354" t="n"/>
      <c r="R164" s="354" t="n">
        <v>39</v>
      </c>
      <c r="S164" s="354" t="n"/>
      <c r="T164" s="354" t="n"/>
      <c r="U164" s="354" t="n"/>
      <c r="V164" s="354" t="n">
        <v>100</v>
      </c>
      <c r="W164" s="354" t="n"/>
      <c r="X164" s="354" t="n"/>
      <c r="Y164" s="354" t="n"/>
      <c r="Z164" s="354" t="n"/>
      <c r="AA164" s="354" t="n"/>
      <c r="AB164" s="354" t="n"/>
      <c r="AC164" s="354" t="n"/>
      <c r="AD164" s="354" t="n"/>
      <c r="AE164" s="354" t="n"/>
      <c r="AF164" s="354" t="n"/>
      <c r="AG164" s="354" t="n"/>
      <c r="AH164" s="354" t="n"/>
      <c r="AI164" s="354" t="n"/>
      <c r="AJ164" s="354" t="n">
        <v>44</v>
      </c>
      <c r="AK164" s="354" t="n"/>
      <c r="AL164" s="354" t="n"/>
      <c r="AM164" s="354" t="n"/>
      <c r="AN164" s="354" t="n"/>
      <c r="AO164" s="34" t="n"/>
      <c r="AP164" s="34">
        <f>SUM(D164:AO164)</f>
        <v/>
      </c>
      <c r="AQ164" s="34">
        <f>SUM(B164:AO164)</f>
        <v/>
      </c>
      <c r="AR164" s="58" t="n"/>
      <c r="AS164" s="58" t="n"/>
      <c r="AT164" s="34" t="n"/>
      <c r="AU164" s="34" t="n"/>
      <c r="AV164" s="356" t="inlineStr">
        <is>
          <t>6"X50' BT20-XL</t>
        </is>
      </c>
      <c r="AW164" s="34" t="n"/>
      <c r="AX164" s="34" t="n"/>
      <c r="AY164" s="57" t="n">
        <v>30</v>
      </c>
      <c r="AZ164" s="14">
        <f>AQ164*AY164</f>
        <v/>
      </c>
      <c r="BA164" s="15">
        <f>AZ164*1.06</f>
        <v/>
      </c>
      <c r="BB164" s="56" t="inlineStr">
        <is>
          <t>68981115 
68981138</t>
        </is>
      </c>
      <c r="BC164" s="38" t="n"/>
      <c r="BD164" s="38" t="n"/>
      <c r="BE164" s="38" t="n"/>
      <c r="BF164" s="38" t="n"/>
      <c r="BG164" s="34" t="n"/>
      <c r="BH164" s="34" t="n"/>
      <c r="BI164" s="34" t="n"/>
      <c r="BJ164" s="34" t="n"/>
      <c r="BK164" s="34" t="n"/>
      <c r="BL164" s="34" t="n"/>
      <c r="BM164" s="34" t="n"/>
      <c r="BN164" s="34" t="n"/>
      <c r="BO164" s="34" t="n"/>
      <c r="BP164" s="34" t="n"/>
      <c r="BQ164" s="34" t="n"/>
      <c r="BR164" s="34" t="n"/>
      <c r="BS164" s="34" t="n"/>
      <c r="BT164" s="34" t="n"/>
      <c r="BU164" s="34" t="n"/>
      <c r="BV164" s="34" t="n"/>
      <c r="BW164" s="34" t="n"/>
      <c r="BX164" s="34" t="n"/>
      <c r="BY164" s="34" t="n"/>
      <c r="BZ164" s="34" t="n"/>
      <c r="CA164" s="34" t="n"/>
      <c r="CB164" s="34" t="n"/>
      <c r="CC164" s="34" t="n"/>
      <c r="CD164" s="34" t="n"/>
      <c r="CE164" s="34" t="n"/>
      <c r="CF164" s="34" t="n"/>
      <c r="CG164" s="34" t="n"/>
      <c r="CH164" s="34" t="n"/>
      <c r="CI164" s="34" t="n"/>
      <c r="CJ164" s="34" t="n"/>
      <c r="CK164" s="34" t="n"/>
      <c r="CL164" s="43" t="n"/>
      <c r="CM164" s="43" t="n"/>
      <c r="CN164" s="43">
        <f>39</f>
        <v/>
      </c>
      <c r="CO164" s="43" t="n"/>
      <c r="CP164" s="43" t="n"/>
      <c r="CQ164" s="43" t="n"/>
      <c r="CR164" s="43" t="n"/>
      <c r="CS164" s="43" t="n"/>
      <c r="CT164" s="43" t="n"/>
      <c r="CU164" s="43" t="n"/>
      <c r="CV164" s="43" t="n"/>
      <c r="CW164" s="43" t="n"/>
      <c r="CX164" s="43" t="n"/>
      <c r="CY164" s="43" t="n"/>
      <c r="CZ164" s="43" t="n"/>
      <c r="DA164" s="43" t="n"/>
      <c r="DB164" s="43" t="n"/>
      <c r="DC164" s="43" t="n"/>
      <c r="DD164" s="43" t="n"/>
      <c r="DE164" s="43" t="n"/>
      <c r="DF164" s="43" t="n"/>
      <c r="DG164" s="43" t="n"/>
      <c r="DH164" s="43" t="n"/>
      <c r="DI164" s="43" t="n">
        <v>96</v>
      </c>
      <c r="DJ164" s="43" t="n"/>
      <c r="DK164" s="43" t="n"/>
      <c r="DL164" s="43" t="n"/>
      <c r="DM164" s="43" t="n"/>
      <c r="DN164" s="43" t="n"/>
      <c r="DO164" s="43" t="n"/>
      <c r="DP164" s="43" t="n"/>
      <c r="DQ164" s="43" t="n"/>
      <c r="DR164" s="43" t="n"/>
      <c r="DS164" s="43" t="n"/>
      <c r="DT164" s="43" t="n"/>
      <c r="DU164" s="43" t="n"/>
      <c r="DV164" s="34">
        <f>SUM(BC164:DU164)</f>
        <v/>
      </c>
      <c r="DW164" s="34" t="n"/>
      <c r="DX164" s="34" t="n"/>
      <c r="DY164" s="14">
        <f>DV164*AY164</f>
        <v/>
      </c>
      <c r="DZ164" s="60">
        <f>DY164*1.06</f>
        <v/>
      </c>
      <c r="EA164" s="32">
        <f>IFERROR(DY164/AZ164,0)</f>
        <v/>
      </c>
      <c r="EB164" s="38" t="n"/>
      <c r="EC164" s="34" t="n"/>
      <c r="ED164" s="34" t="n"/>
      <c r="EE164" s="34" t="n"/>
      <c r="EF164" s="34" t="n"/>
      <c r="EG164" s="34" t="n"/>
      <c r="EH164" s="34" t="n"/>
      <c r="EI164" s="34" t="n"/>
      <c r="EJ164" s="34" t="n"/>
      <c r="EK164" s="34" t="n"/>
      <c r="EL164" s="34" t="n"/>
      <c r="EM164" s="34" t="n"/>
    </row>
    <row r="165" ht="81.40000000000001" customHeight="1">
      <c r="A165" s="42" t="inlineStr">
        <is>
          <t>Invoice</t>
        </is>
      </c>
      <c r="B165" s="30" t="n">
        <v>115</v>
      </c>
      <c r="C165" s="354" t="n"/>
      <c r="D165" s="354" t="n"/>
      <c r="E165" s="354" t="n"/>
      <c r="F165" s="354" t="n"/>
      <c r="G165" s="354" t="n"/>
      <c r="H165" s="354" t="n"/>
      <c r="I165" s="354" t="n"/>
      <c r="J165" s="354" t="n"/>
      <c r="K165" s="354" t="n"/>
      <c r="L165" s="354" t="n"/>
      <c r="M165" s="354" t="n"/>
      <c r="N165" s="354" t="n"/>
      <c r="O165" s="354" t="n"/>
      <c r="P165" s="354" t="n"/>
      <c r="Q165" s="354" t="n"/>
      <c r="R165" s="354" t="n"/>
      <c r="S165" s="354" t="n"/>
      <c r="T165" s="354" t="n"/>
      <c r="U165" s="354" t="n"/>
      <c r="V165" s="354" t="n"/>
      <c r="W165" s="354" t="n"/>
      <c r="X165" s="354" t="n"/>
      <c r="Y165" s="354" t="n"/>
      <c r="Z165" s="354" t="n"/>
      <c r="AA165" s="354" t="n"/>
      <c r="AB165" s="354" t="n"/>
      <c r="AC165" s="354" t="n"/>
      <c r="AD165" s="354" t="n"/>
      <c r="AE165" s="354" t="n"/>
      <c r="AF165" s="354" t="n"/>
      <c r="AG165" s="354" t="n"/>
      <c r="AH165" s="354" t="n">
        <v>300</v>
      </c>
      <c r="AI165" s="354" t="n"/>
      <c r="AJ165" s="354" t="n"/>
      <c r="AK165" s="354" t="n"/>
      <c r="AL165" s="354" t="n">
        <v>208</v>
      </c>
      <c r="AM165" s="354" t="n"/>
      <c r="AN165" s="354" t="n"/>
      <c r="AO165" s="34" t="n"/>
      <c r="AP165" s="34">
        <f>SUM(D165:AO165)</f>
        <v/>
      </c>
      <c r="AQ165" s="34">
        <f>SUM(B165:AO165)</f>
        <v/>
      </c>
      <c r="AR165" s="58" t="n"/>
      <c r="AS165" s="58" t="n"/>
      <c r="AT165" s="34" t="n"/>
      <c r="AU165" s="34" t="n"/>
      <c r="AV165" s="356" t="inlineStr">
        <is>
          <t xml:space="preserve">12'X75' TYVEK FLASHING </t>
        </is>
      </c>
      <c r="AW165" s="34" t="n"/>
      <c r="AX165" s="34" t="n"/>
      <c r="AY165" s="57" t="n">
        <v>92</v>
      </c>
      <c r="AZ165" s="14">
        <f>AQ165*AY165</f>
        <v/>
      </c>
      <c r="BA165" s="15">
        <f>AZ165*1.06</f>
        <v/>
      </c>
      <c r="BB165" s="56" t="inlineStr">
        <is>
          <t>68981009 68981138 68981165 68981147
68981102 68981175
68981180</t>
        </is>
      </c>
      <c r="BC165" s="38" t="n"/>
      <c r="BD165" s="38" t="n"/>
      <c r="BE165" s="38" t="n">
        <v>6</v>
      </c>
      <c r="BF165" s="34" t="n"/>
      <c r="BG165" s="34" t="n"/>
      <c r="BH165" s="34" t="n"/>
      <c r="BI165" s="34" t="n"/>
      <c r="BJ165" s="34" t="n"/>
      <c r="BK165" s="34" t="n"/>
      <c r="BL165" s="34" t="n"/>
      <c r="BM165" s="34" t="n"/>
      <c r="BN165" s="34" t="n"/>
      <c r="BO165" s="34" t="n"/>
      <c r="BP165" s="34" t="n"/>
      <c r="BQ165" s="34" t="n"/>
      <c r="BR165" s="34" t="n"/>
      <c r="BS165" s="34" t="n"/>
      <c r="BT165" s="34" t="n"/>
      <c r="BU165" s="34" t="n"/>
      <c r="BV165" s="34" t="n"/>
      <c r="BW165" s="34" t="n"/>
      <c r="BX165" s="34" t="n"/>
      <c r="BY165" s="34" t="n"/>
      <c r="BZ165" s="34" t="n"/>
      <c r="CA165" s="34" t="n"/>
      <c r="CB165" s="20" t="n">
        <v>200</v>
      </c>
      <c r="CC165" s="35" t="n"/>
      <c r="CD165" s="35" t="n"/>
      <c r="CE165" s="34" t="n"/>
      <c r="CF165" s="34" t="n"/>
      <c r="CG165" s="34" t="n"/>
      <c r="CH165" s="34" t="n"/>
      <c r="CI165" s="34" t="n"/>
      <c r="CJ165" s="34" t="n"/>
      <c r="CK165" s="34" t="n"/>
      <c r="CL165" s="34" t="n"/>
      <c r="CM165" s="34" t="n"/>
      <c r="CN165" s="34" t="n"/>
      <c r="CO165" s="34" t="n"/>
      <c r="CP165" s="34" t="n"/>
      <c r="CQ165" s="34">
        <f>216</f>
        <v/>
      </c>
      <c r="CR165" s="34" t="n"/>
      <c r="CS165" s="34" t="n"/>
      <c r="CT165" s="34" t="n"/>
      <c r="CU165" s="34" t="n"/>
      <c r="CV165" s="34" t="n"/>
      <c r="CW165" s="34" t="n"/>
      <c r="CX165" s="34" t="n"/>
      <c r="CY165" s="34" t="n"/>
      <c r="CZ165" s="34" t="n"/>
      <c r="DA165" s="34" t="n"/>
      <c r="DB165" s="34" t="n"/>
      <c r="DC165" s="34" t="n"/>
      <c r="DD165" s="34" t="n"/>
      <c r="DE165" s="34" t="n"/>
      <c r="DF165" s="34">
        <f>40</f>
        <v/>
      </c>
      <c r="DG165" s="34" t="n"/>
      <c r="DH165" s="34" t="n"/>
      <c r="DI165" s="34" t="n">
        <v>24</v>
      </c>
      <c r="DJ165" s="34" t="n"/>
      <c r="DK165" s="34">
        <f>44</f>
        <v/>
      </c>
      <c r="DL165" s="34" t="n"/>
      <c r="DM165" s="34" t="n"/>
      <c r="DN165" s="34" t="n"/>
      <c r="DO165" s="34" t="n"/>
      <c r="DP165" s="34" t="n"/>
      <c r="DQ165" s="34" t="n">
        <v>416</v>
      </c>
      <c r="DR165" s="34" t="n"/>
      <c r="DS165" s="34" t="n"/>
      <c r="DT165" s="34" t="n"/>
      <c r="DU165" s="34" t="n"/>
      <c r="DV165" s="34">
        <f>SUM(BC165:DS165)</f>
        <v/>
      </c>
      <c r="DW165" s="34">
        <f>DV165*AU165</f>
        <v/>
      </c>
      <c r="DX165" s="43">
        <f>DV165</f>
        <v/>
      </c>
      <c r="DY165" s="7">
        <f>DV165*AY165</f>
        <v/>
      </c>
      <c r="DZ165" s="23">
        <f>DY165*1.07</f>
        <v/>
      </c>
      <c r="EA165" s="22">
        <f>IFERROR(DY165/AZ165,0)</f>
        <v/>
      </c>
      <c r="EB165" s="38" t="n"/>
      <c r="EC165" s="34" t="n"/>
      <c r="ED165" s="34" t="n"/>
      <c r="EE165" s="34">
        <f>IF(EB165&lt;&gt;"",EB165*ED165,0)</f>
        <v/>
      </c>
      <c r="EF165" s="34">
        <f>DV165-EE165</f>
        <v/>
      </c>
      <c r="EG165" s="34">
        <f>EF165*AU165</f>
        <v/>
      </c>
      <c r="EH165" s="34">
        <f>EF165</f>
        <v/>
      </c>
      <c r="EI165" s="34">
        <f>IFERROR(EH165/DV165,0)</f>
        <v/>
      </c>
      <c r="EJ165" s="34">
        <f>IFERROR(EH165*AY165/1000,0)</f>
        <v/>
      </c>
      <c r="EK165" s="34">
        <f>EJ165*1.07</f>
        <v/>
      </c>
      <c r="EL165" s="34" t="n"/>
      <c r="EM165" s="34" t="n"/>
      <c r="EN165" s="12" t="n"/>
    </row>
    <row r="166" ht="12.75" customHeight="1">
      <c r="A166" s="42" t="inlineStr">
        <is>
          <t>Each</t>
        </is>
      </c>
      <c r="B166" s="46" t="n">
        <v>212</v>
      </c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0" t="n"/>
      <c r="AP166" s="34">
        <f>SUM(D166:AO166)</f>
        <v/>
      </c>
      <c r="AQ166" s="34">
        <f>SUM(B166:AO166)</f>
        <v/>
      </c>
      <c r="AR166" s="20" t="n"/>
      <c r="AS166" s="20" t="n"/>
      <c r="AT166" s="20" t="n"/>
      <c r="AU166" s="20" t="n"/>
      <c r="AV166" s="29" t="inlineStr">
        <is>
          <t>COMMERCIAL WRAP 10'X125'</t>
        </is>
      </c>
      <c r="AW166" s="20" t="n"/>
      <c r="AX166" s="20" t="n"/>
      <c r="AY166" s="44" t="n">
        <v>323</v>
      </c>
      <c r="AZ166" s="14">
        <f>AQ166*AY166</f>
        <v/>
      </c>
      <c r="BA166" s="15">
        <f>AZ166*1.06</f>
        <v/>
      </c>
      <c r="BB166" s="20" t="n"/>
      <c r="BC166" s="20" t="n"/>
      <c r="BD166" s="20" t="n"/>
      <c r="BE166" s="20" t="n"/>
      <c r="BF166" s="20" t="n"/>
      <c r="BG166" s="20" t="n"/>
      <c r="BH166" s="20" t="n"/>
      <c r="BI166" s="20" t="n"/>
      <c r="BJ166" s="20" t="n"/>
      <c r="BK166" s="20" t="n"/>
      <c r="BL166" s="20" t="n"/>
      <c r="BM166" s="20" t="n"/>
      <c r="BN166" s="20" t="n"/>
      <c r="BO166" s="20" t="n"/>
      <c r="BP166" s="20" t="n"/>
      <c r="BQ166" s="20" t="n"/>
      <c r="BR166" s="20" t="n"/>
      <c r="BS166" s="20" t="n"/>
      <c r="BT166" s="20" t="n"/>
      <c r="BU166" s="20" t="n"/>
      <c r="BV166" s="20" t="n"/>
      <c r="BW166" s="20" t="n"/>
      <c r="BX166" s="20" t="n"/>
      <c r="BY166" s="20" t="n"/>
      <c r="BZ166" s="20" t="n"/>
      <c r="CA166" s="20" t="n"/>
      <c r="CB166" s="20" t="n"/>
      <c r="CC166" s="20" t="n"/>
      <c r="CD166" s="20" t="n"/>
      <c r="CE166" s="20" t="n"/>
      <c r="CF166" s="20" t="n"/>
      <c r="CG166" s="20" t="n"/>
      <c r="CH166" s="20" t="n"/>
      <c r="CI166" s="20" t="n"/>
      <c r="CJ166" s="20" t="n"/>
      <c r="CK166" s="20" t="n"/>
      <c r="CL166" s="20" t="n"/>
      <c r="CM166" s="20" t="n"/>
      <c r="CN166" s="20" t="n"/>
      <c r="CO166" s="20" t="n"/>
      <c r="CP166" s="20" t="n"/>
      <c r="CQ166" s="20" t="n"/>
      <c r="CR166" s="20" t="n"/>
      <c r="CS166" s="20" t="n"/>
      <c r="CT166" s="20" t="n"/>
      <c r="CU166" s="20" t="n"/>
      <c r="CV166" s="20" t="n"/>
      <c r="CW166" s="20" t="n"/>
      <c r="CX166" s="20" t="n"/>
      <c r="CY166" s="20" t="n"/>
      <c r="CZ166" s="20" t="n"/>
      <c r="DA166" s="20" t="n"/>
      <c r="DB166" s="20" t="n"/>
      <c r="DC166" s="20" t="n"/>
      <c r="DD166" s="20" t="n"/>
      <c r="DE166" s="20" t="n"/>
      <c r="DF166" s="20" t="n"/>
      <c r="DG166" s="20" t="n"/>
      <c r="DH166" s="20" t="n"/>
      <c r="DI166" s="20" t="n"/>
      <c r="DJ166" s="20" t="n"/>
      <c r="DK166" s="20" t="n"/>
      <c r="DL166" s="20" t="n"/>
      <c r="DM166" s="20" t="n"/>
      <c r="DN166" s="20" t="n"/>
      <c r="DO166" s="20" t="n"/>
      <c r="DP166" s="20" t="n"/>
      <c r="DQ166" s="20" t="n"/>
      <c r="DR166" s="20" t="n"/>
      <c r="DS166" s="20" t="n"/>
      <c r="DT166" s="20" t="n"/>
      <c r="DU166" s="20" t="n"/>
      <c r="DV166" s="34">
        <f>SUM(BC166:DS166)</f>
        <v/>
      </c>
      <c r="DW166" s="34">
        <f>DV166*AU166</f>
        <v/>
      </c>
      <c r="DX166" s="43">
        <f>DV166</f>
        <v/>
      </c>
      <c r="DY166" s="7">
        <f>DV166*AY166</f>
        <v/>
      </c>
      <c r="DZ166" s="23">
        <f>DY166*1.07</f>
        <v/>
      </c>
      <c r="EA166" s="22">
        <f>IFERROR(DY166/AZ166,0)</f>
        <v/>
      </c>
      <c r="EB166" s="21" t="n"/>
      <c r="EC166" s="20" t="n"/>
      <c r="ED166" s="20" t="n"/>
      <c r="EE166" s="20">
        <f>IF(EB166&lt;&gt;"",EB166*ED166,0)</f>
        <v/>
      </c>
      <c r="EF166" s="20">
        <f>DV166-EE166</f>
        <v/>
      </c>
      <c r="EG166" s="20">
        <f>EF166*AU166</f>
        <v/>
      </c>
      <c r="EH166" s="20">
        <f>EF166</f>
        <v/>
      </c>
      <c r="EI166" s="20">
        <f>IFERROR(EH166/DV166,0)</f>
        <v/>
      </c>
      <c r="EJ166" s="20">
        <f>IFERROR(EH166*AY166/1000,0)</f>
        <v/>
      </c>
      <c r="EK166" s="20">
        <f>EJ166*1.07</f>
        <v/>
      </c>
      <c r="EL166" s="20" t="n"/>
      <c r="EM166" s="20" t="n"/>
    </row>
    <row r="167" ht="12.75" customHeight="1">
      <c r="A167" s="42" t="inlineStr">
        <is>
          <t>Each</t>
        </is>
      </c>
      <c r="B167" s="46" t="n">
        <v>1015</v>
      </c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34">
        <f>SUM(D167:AO167)</f>
        <v/>
      </c>
      <c r="AQ167" s="34">
        <f>SUM(B167:AO167)</f>
        <v/>
      </c>
      <c r="AR167" s="20" t="n"/>
      <c r="AS167" s="20" t="n"/>
      <c r="AT167" s="20" t="n"/>
      <c r="AU167" s="20" t="n"/>
      <c r="AV167" s="29" t="inlineStr">
        <is>
          <t>FLASHING 4"X75'</t>
        </is>
      </c>
      <c r="AW167" s="20" t="n"/>
      <c r="AX167" s="20" t="n"/>
      <c r="AY167" s="44" t="n">
        <v>37</v>
      </c>
      <c r="AZ167" s="14">
        <f>AQ167*AY167</f>
        <v/>
      </c>
      <c r="BA167" s="15">
        <f>AZ167*1.06</f>
        <v/>
      </c>
      <c r="BB167" s="34" t="n">
        <v>68981102</v>
      </c>
      <c r="BC167" s="20" t="n"/>
      <c r="BD167" s="20" t="n"/>
      <c r="BE167" s="20" t="n"/>
      <c r="BF167" s="20" t="n"/>
      <c r="BG167" s="20" t="n"/>
      <c r="BH167" s="20" t="n"/>
      <c r="BI167" s="20" t="n"/>
      <c r="BJ167" s="20" t="n"/>
      <c r="BK167" s="20" t="n"/>
      <c r="BL167" s="20" t="n"/>
      <c r="BM167" s="20" t="n"/>
      <c r="BN167" s="20" t="n"/>
      <c r="BO167" s="20" t="n"/>
      <c r="BP167" s="20" t="n"/>
      <c r="BQ167" s="20" t="n"/>
      <c r="BR167" s="20" t="n"/>
      <c r="BS167" s="20" t="n"/>
      <c r="BT167" s="20" t="n"/>
      <c r="BU167" s="20" t="n"/>
      <c r="BV167" s="20" t="n"/>
      <c r="BW167" s="20" t="n"/>
      <c r="BX167" s="20" t="n"/>
      <c r="BY167" s="20" t="n"/>
      <c r="BZ167" s="20" t="n"/>
      <c r="CA167" s="20" t="n"/>
      <c r="CB167" s="20" t="n">
        <v>250</v>
      </c>
      <c r="CC167" s="20" t="n"/>
      <c r="CD167" s="20" t="n"/>
      <c r="CE167" s="20" t="n"/>
      <c r="CF167" s="20" t="n"/>
      <c r="CG167" s="20" t="n"/>
      <c r="CH167" s="20" t="n"/>
      <c r="CI167" s="20" t="n"/>
      <c r="CJ167" s="20" t="n"/>
      <c r="CK167" s="20" t="n"/>
      <c r="CL167" s="20" t="n"/>
      <c r="CM167" s="20" t="n"/>
      <c r="CN167" s="20" t="n"/>
      <c r="CO167" s="20" t="n"/>
      <c r="CP167" s="20" t="n"/>
      <c r="CQ167" s="20" t="n"/>
      <c r="CR167" s="20" t="n"/>
      <c r="CS167" s="20" t="n"/>
      <c r="CT167" s="20" t="n"/>
      <c r="CU167" s="20" t="n"/>
      <c r="CV167" s="20" t="n"/>
      <c r="CW167" s="20" t="n"/>
      <c r="CX167" s="20" t="n"/>
      <c r="CY167" s="20" t="n"/>
      <c r="CZ167" s="20" t="n"/>
      <c r="DA167" s="20" t="n"/>
      <c r="DB167" s="20" t="n"/>
      <c r="DC167" s="20" t="n"/>
      <c r="DD167" s="20" t="n"/>
      <c r="DE167" s="20" t="n"/>
      <c r="DF167" s="20" t="n"/>
      <c r="DG167" s="20" t="n"/>
      <c r="DH167" s="20" t="n"/>
      <c r="DI167" s="20" t="n"/>
      <c r="DJ167" s="20" t="n"/>
      <c r="DK167" s="20" t="n"/>
      <c r="DL167" s="20" t="n"/>
      <c r="DM167" s="20" t="n"/>
      <c r="DN167" s="20" t="n"/>
      <c r="DO167" s="20" t="n"/>
      <c r="DP167" s="20" t="n"/>
      <c r="DQ167" s="20" t="n"/>
      <c r="DR167" s="20" t="n"/>
      <c r="DS167" s="20" t="n"/>
      <c r="DT167" s="20" t="n"/>
      <c r="DU167" s="20" t="n"/>
      <c r="DV167" s="34">
        <f>SUM(BC167:DS167)</f>
        <v/>
      </c>
      <c r="DW167" s="34">
        <f>DV167*AU167</f>
        <v/>
      </c>
      <c r="DX167" s="43">
        <f>DV167</f>
        <v/>
      </c>
      <c r="DY167" s="7">
        <f>DV167*AY167</f>
        <v/>
      </c>
      <c r="DZ167" s="23">
        <f>DY167*1.07</f>
        <v/>
      </c>
      <c r="EA167" s="22">
        <f>IFERROR(DY167/AZ167,0)</f>
        <v/>
      </c>
      <c r="EB167" s="20" t="n"/>
      <c r="EC167" s="20" t="n"/>
      <c r="ED167" s="20" t="n"/>
      <c r="EE167" s="20">
        <f>IF(EB167&lt;&gt;"",EB167*ED167,0)</f>
        <v/>
      </c>
      <c r="EF167" s="20">
        <f>DV167-EE167</f>
        <v/>
      </c>
      <c r="EG167" s="20">
        <f>EF167*AU167</f>
        <v/>
      </c>
      <c r="EH167" s="20">
        <f>EF167</f>
        <v/>
      </c>
      <c r="EI167" s="20">
        <f>IFERROR(EH167/DV167,0)</f>
        <v/>
      </c>
      <c r="EJ167" s="20">
        <f>IFERROR(EH167*AY167/1000,0)</f>
        <v/>
      </c>
      <c r="EK167" s="20">
        <f>EJ167*1.07</f>
        <v/>
      </c>
      <c r="EL167" s="20" t="n"/>
      <c r="EM167" s="20" t="n"/>
    </row>
    <row r="168" ht="23.25" customHeight="1">
      <c r="A168" s="42" t="inlineStr">
        <is>
          <t>Each</t>
        </is>
      </c>
      <c r="B168" s="46" t="n">
        <v>1000</v>
      </c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35" t="n"/>
      <c r="AH168" s="20" t="n"/>
      <c r="AI168" s="20" t="n"/>
      <c r="AJ168" s="20" t="n"/>
      <c r="AK168" s="20" t="n"/>
      <c r="AL168" s="20" t="n"/>
      <c r="AM168" s="20" t="n"/>
      <c r="AN168" s="20" t="n"/>
      <c r="AO168" s="20" t="n"/>
      <c r="AP168" s="34">
        <f>SUM(D168:AO168)</f>
        <v/>
      </c>
      <c r="AQ168" s="34">
        <f>SUM(B168:AO168)</f>
        <v/>
      </c>
      <c r="AR168" s="20" t="n"/>
      <c r="AS168" s="20" t="n"/>
      <c r="AT168" s="20" t="n"/>
      <c r="AU168" s="20" t="n"/>
      <c r="AV168" s="29" t="inlineStr">
        <is>
          <t>FLASHING 6"X75'</t>
        </is>
      </c>
      <c r="AW168" s="20" t="n"/>
      <c r="AX168" s="20" t="n"/>
      <c r="AY168" s="44" t="n">
        <v>53.25</v>
      </c>
      <c r="AZ168" s="14">
        <f>AQ168*AY168</f>
        <v/>
      </c>
      <c r="BA168" s="15">
        <f>AZ168*1.06</f>
        <v/>
      </c>
      <c r="BB168" s="56" t="inlineStr">
        <is>
          <t>68981102
68981180</t>
        </is>
      </c>
      <c r="BC168" s="20" t="n"/>
      <c r="BD168" s="20" t="n"/>
      <c r="BE168" s="20" t="n"/>
      <c r="BF168" s="20" t="n"/>
      <c r="BG168" s="20" t="n"/>
      <c r="BH168" s="20" t="n"/>
      <c r="BI168" s="20" t="n"/>
      <c r="BJ168" s="20" t="n"/>
      <c r="BK168" s="20" t="n"/>
      <c r="BL168" s="20" t="n"/>
      <c r="BM168" s="20" t="n"/>
      <c r="BN168" s="20" t="n"/>
      <c r="BO168" s="20" t="n"/>
      <c r="BP168" s="20" t="n"/>
      <c r="BQ168" s="20" t="n"/>
      <c r="BR168" s="20" t="n"/>
      <c r="BS168" s="20" t="n"/>
      <c r="BT168" s="20" t="n"/>
      <c r="BU168" s="20" t="n"/>
      <c r="BV168" s="20" t="n"/>
      <c r="BW168" s="20" t="n"/>
      <c r="BX168" s="20" t="n"/>
      <c r="BY168" s="20" t="n"/>
      <c r="BZ168" s="20" t="n"/>
      <c r="CA168" s="20" t="n"/>
      <c r="CB168" s="20" t="n">
        <v>250</v>
      </c>
      <c r="CC168" s="20" t="n"/>
      <c r="CD168" s="20" t="n"/>
      <c r="CE168" s="20" t="n"/>
      <c r="CF168" s="20" t="n"/>
      <c r="CG168" s="20" t="n"/>
      <c r="CH168" s="20" t="n"/>
      <c r="CI168" s="20" t="n"/>
      <c r="CJ168" s="20" t="n"/>
      <c r="CK168" s="20" t="n"/>
      <c r="CL168" s="20" t="n"/>
      <c r="CM168" s="20" t="n"/>
      <c r="CN168" s="20" t="n"/>
      <c r="CO168" s="20" t="n"/>
      <c r="CP168" s="20" t="n"/>
      <c r="CQ168" s="20" t="n"/>
      <c r="CR168" s="20" t="n"/>
      <c r="CS168" s="20" t="n"/>
      <c r="CT168" s="20" t="n"/>
      <c r="CU168" s="20" t="n"/>
      <c r="CV168" s="20" t="n"/>
      <c r="CW168" s="20" t="n"/>
      <c r="CX168" s="20" t="n"/>
      <c r="CY168" s="20" t="n"/>
      <c r="CZ168" s="20" t="n"/>
      <c r="DA168" s="20" t="n"/>
      <c r="DB168" s="20" t="n"/>
      <c r="DC168" s="20" t="n"/>
      <c r="DD168" s="20" t="n"/>
      <c r="DE168" s="20" t="n"/>
      <c r="DF168" s="20" t="n"/>
      <c r="DG168" s="20" t="n"/>
      <c r="DH168" s="20" t="n"/>
      <c r="DI168" s="20" t="n"/>
      <c r="DJ168" s="20" t="n"/>
      <c r="DK168" s="20" t="n"/>
      <c r="DL168" s="20" t="n"/>
      <c r="DM168" s="20" t="n"/>
      <c r="DN168" s="20" t="n"/>
      <c r="DO168" s="20" t="n"/>
      <c r="DP168" s="20" t="n"/>
      <c r="DQ168" s="20" t="n">
        <v>288</v>
      </c>
      <c r="DR168" s="20" t="n"/>
      <c r="DS168" s="20" t="n"/>
      <c r="DT168" s="20" t="n"/>
      <c r="DU168" s="20" t="n"/>
      <c r="DV168" s="34">
        <f>SUM(BC168:DS168)</f>
        <v/>
      </c>
      <c r="DW168" s="34">
        <f>DV168*AU168</f>
        <v/>
      </c>
      <c r="DX168" s="43">
        <f>DV168</f>
        <v/>
      </c>
      <c r="DY168" s="7">
        <f>DV168*AY168</f>
        <v/>
      </c>
      <c r="DZ168" s="23">
        <f>DY168*1.07</f>
        <v/>
      </c>
      <c r="EA168" s="22">
        <f>IFERROR(DY168/AZ168,0)</f>
        <v/>
      </c>
      <c r="EB168" s="20" t="n"/>
      <c r="EC168" s="20" t="n"/>
      <c r="ED168" s="20" t="n"/>
      <c r="EE168" s="20">
        <f>IF(EB168&lt;&gt;"",EB168*ED168,0)</f>
        <v/>
      </c>
      <c r="EF168" s="20">
        <f>DV168-EE168</f>
        <v/>
      </c>
      <c r="EG168" s="20">
        <f>EF168*AU168</f>
        <v/>
      </c>
      <c r="EH168" s="20">
        <f>EF168</f>
        <v/>
      </c>
      <c r="EI168" s="20">
        <f>IFERROR(EH168/DV168,0)</f>
        <v/>
      </c>
      <c r="EJ168" s="20">
        <f>IFERROR(EH168*AY168/1000,0)</f>
        <v/>
      </c>
      <c r="EK168" s="20">
        <f>EJ168*1.07</f>
        <v/>
      </c>
      <c r="EL168" s="20" t="n"/>
      <c r="EM168" s="20" t="n"/>
    </row>
    <row r="169" ht="12.75" customHeight="1">
      <c r="A169" s="42" t="inlineStr">
        <is>
          <t>Each</t>
        </is>
      </c>
      <c r="B169" s="46" t="n">
        <v>300</v>
      </c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0" t="n"/>
      <c r="AH169" s="55" t="n">
        <v>-300</v>
      </c>
      <c r="AI169" s="55" t="n"/>
      <c r="AJ169" s="55" t="n"/>
      <c r="AK169" s="55" t="n"/>
      <c r="AL169" s="55" t="n"/>
      <c r="AM169" s="55" t="n"/>
      <c r="AN169" s="55" t="n"/>
      <c r="AO169" s="25" t="n"/>
      <c r="AP169" s="24">
        <f>SUM(D169:AO169)</f>
        <v/>
      </c>
      <c r="AQ169" s="24">
        <f>SUM(B169:AO169)</f>
        <v/>
      </c>
      <c r="AR169" s="21" t="n"/>
      <c r="AS169" s="20" t="n"/>
      <c r="AT169" s="20" t="n"/>
      <c r="AU169" s="20" t="n"/>
      <c r="AV169" s="29" t="inlineStr">
        <is>
          <t>FLEX 9"X75'</t>
        </is>
      </c>
      <c r="AW169" s="20" t="n"/>
      <c r="AX169" s="20" t="n"/>
      <c r="AY169" s="44" t="n">
        <v>168</v>
      </c>
      <c r="AZ169" s="14">
        <f>AQ169*AY169</f>
        <v/>
      </c>
      <c r="BA169" s="15">
        <f>AZ169*1.06</f>
        <v/>
      </c>
      <c r="BB169" s="20" t="n"/>
      <c r="BC169" s="20" t="n"/>
      <c r="BD169" s="20" t="n"/>
      <c r="BE169" s="20" t="n"/>
      <c r="BF169" s="20" t="n"/>
      <c r="BG169" s="20" t="n"/>
      <c r="BH169" s="20" t="n"/>
      <c r="BI169" s="20" t="n"/>
      <c r="BJ169" s="20" t="n"/>
      <c r="BK169" s="20" t="n"/>
      <c r="BL169" s="20" t="n"/>
      <c r="BM169" s="20" t="n"/>
      <c r="BN169" s="20" t="n"/>
      <c r="BO169" s="20" t="n"/>
      <c r="BP169" s="20" t="n"/>
      <c r="BQ169" s="20" t="n"/>
      <c r="BR169" s="20" t="n"/>
      <c r="BS169" s="20" t="n"/>
      <c r="BT169" s="20" t="n"/>
      <c r="BU169" s="20" t="n"/>
      <c r="BV169" s="20" t="n"/>
      <c r="BW169" s="20" t="n"/>
      <c r="BX169" s="20" t="n"/>
      <c r="BY169" s="20" t="n"/>
      <c r="BZ169" s="20" t="n"/>
      <c r="CA169" s="20" t="n"/>
      <c r="CB169" s="20" t="n"/>
      <c r="CC169" s="20" t="n"/>
      <c r="CD169" s="20" t="n"/>
      <c r="CE169" s="20" t="n"/>
      <c r="CF169" s="20" t="n"/>
      <c r="CG169" s="20" t="n"/>
      <c r="CH169" s="20" t="n"/>
      <c r="CI169" s="20" t="n"/>
      <c r="CJ169" s="20" t="n"/>
      <c r="CK169" s="20" t="n"/>
      <c r="CL169" s="20" t="n"/>
      <c r="CM169" s="20" t="n"/>
      <c r="CN169" s="20" t="n"/>
      <c r="CO169" s="20" t="n"/>
      <c r="CP169" s="20" t="n"/>
      <c r="CQ169" s="20" t="n"/>
      <c r="CR169" s="20" t="n"/>
      <c r="CS169" s="20" t="n"/>
      <c r="CT169" s="20" t="n"/>
      <c r="CU169" s="20" t="n"/>
      <c r="CV169" s="20" t="n"/>
      <c r="CW169" s="20" t="n"/>
      <c r="CX169" s="20" t="n"/>
      <c r="CY169" s="20" t="n"/>
      <c r="CZ169" s="20" t="n"/>
      <c r="DA169" s="20" t="n"/>
      <c r="DB169" s="20" t="n"/>
      <c r="DC169" s="20" t="n"/>
      <c r="DD169" s="20" t="n"/>
      <c r="DE169" s="20" t="n"/>
      <c r="DF169" s="20" t="n"/>
      <c r="DG169" s="20" t="n"/>
      <c r="DH169" s="20" t="n"/>
      <c r="DI169" s="20" t="n"/>
      <c r="DJ169" s="20" t="n"/>
      <c r="DK169" s="20" t="n"/>
      <c r="DL169" s="20" t="n"/>
      <c r="DM169" s="20" t="n"/>
      <c r="DN169" s="20" t="n"/>
      <c r="DO169" s="20" t="n"/>
      <c r="DP169" s="20" t="n"/>
      <c r="DQ169" s="20" t="n"/>
      <c r="DR169" s="20" t="n"/>
      <c r="DS169" s="20" t="n"/>
      <c r="DT169" s="20" t="n"/>
      <c r="DU169" s="20" t="n"/>
      <c r="DV169" s="34">
        <f>SUM(BC169:DS169)</f>
        <v/>
      </c>
      <c r="DW169" s="34">
        <f>DV169*AU169</f>
        <v/>
      </c>
      <c r="DX169" s="43">
        <f>DV169</f>
        <v/>
      </c>
      <c r="DY169" s="14">
        <f>DV169*AY169</f>
        <v/>
      </c>
      <c r="DZ169" s="23">
        <f>DY169*1.07</f>
        <v/>
      </c>
      <c r="EA169" s="22">
        <f>IFERROR(DY169/AZ169,0)</f>
        <v/>
      </c>
      <c r="EB169" s="20" t="n"/>
      <c r="EC169" s="20" t="n"/>
      <c r="ED169" s="20" t="n"/>
      <c r="EE169" s="20">
        <f>IF(EB169&lt;&gt;"",EB169*ED169,0)</f>
        <v/>
      </c>
      <c r="EF169" s="20">
        <f>DV169-EE169</f>
        <v/>
      </c>
      <c r="EG169" s="20">
        <f>EF169*AU169</f>
        <v/>
      </c>
      <c r="EH169" s="20">
        <f>EF169</f>
        <v/>
      </c>
      <c r="EI169" s="20">
        <f>IFERROR(EH169/DV169,0)</f>
        <v/>
      </c>
      <c r="EJ169" s="20">
        <f>IFERROR(EH169*AY169/1000,0)</f>
        <v/>
      </c>
      <c r="EK169" s="20">
        <f>EJ169*1.07</f>
        <v/>
      </c>
      <c r="EL169" s="20" t="n"/>
      <c r="EM169" s="20" t="n"/>
    </row>
    <row r="170" ht="34.9" customHeight="1">
      <c r="A170" s="42" t="inlineStr">
        <is>
          <t>Each</t>
        </is>
      </c>
      <c r="B170" s="46" t="n">
        <v>415</v>
      </c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  <c r="AD170" s="25" t="n"/>
      <c r="AE170" s="25" t="n"/>
      <c r="AF170" s="25" t="n"/>
      <c r="AG170" s="54" t="n"/>
      <c r="AH170" s="25" t="n"/>
      <c r="AI170" s="25" t="n"/>
      <c r="AJ170" s="25" t="n"/>
      <c r="AK170" s="25" t="n"/>
      <c r="AL170" s="25" t="n"/>
      <c r="AM170" s="25" t="n"/>
      <c r="AN170" s="25" t="n"/>
      <c r="AO170" s="25" t="n"/>
      <c r="AP170" s="24">
        <f>SUM(D170:AO170)</f>
        <v/>
      </c>
      <c r="AQ170" s="24">
        <f>SUM(B170:AO170)</f>
        <v/>
      </c>
      <c r="AR170" s="21" t="n"/>
      <c r="AS170" s="20" t="n"/>
      <c r="AT170" s="20" t="n"/>
      <c r="AU170" s="20" t="n"/>
      <c r="AV170" s="29" t="inlineStr">
        <is>
          <t>TAPE 3"X165'</t>
        </is>
      </c>
      <c r="AW170" s="20" t="n"/>
      <c r="AX170" s="20" t="n"/>
      <c r="AY170" s="28" t="n">
        <v>19.5</v>
      </c>
      <c r="AZ170" s="14">
        <f>AQ170*AY170</f>
        <v/>
      </c>
      <c r="BA170" s="14">
        <f>AZ170*1.06</f>
        <v/>
      </c>
      <c r="BB170" s="53" t="inlineStr">
        <is>
          <t>68981102 68981159
68981168</t>
        </is>
      </c>
      <c r="BC170" s="20" t="n"/>
      <c r="BD170" s="20" t="n"/>
      <c r="BE170" s="20" t="n"/>
      <c r="BF170" s="20" t="n"/>
      <c r="BG170" s="20" t="n"/>
      <c r="BH170" s="20" t="n"/>
      <c r="BI170" s="20" t="n"/>
      <c r="BJ170" s="20" t="n"/>
      <c r="BK170" s="20" t="n"/>
      <c r="BL170" s="20" t="n"/>
      <c r="BM170" s="20" t="n"/>
      <c r="BN170" s="20" t="n"/>
      <c r="BO170" s="20" t="n"/>
      <c r="BP170" s="20" t="n"/>
      <c r="BQ170" s="20" t="n"/>
      <c r="BR170" s="20" t="n"/>
      <c r="BS170" s="20" t="n"/>
      <c r="BT170" s="20" t="n"/>
      <c r="BU170" s="20" t="n"/>
      <c r="BV170" s="20" t="n"/>
      <c r="BW170" s="20" t="n"/>
      <c r="BX170" s="20" t="n"/>
      <c r="BY170" s="20" t="n"/>
      <c r="BZ170" s="20" t="n"/>
      <c r="CA170" s="20" t="n"/>
      <c r="CB170" s="20" t="n">
        <v>100</v>
      </c>
      <c r="CC170" s="20" t="n"/>
      <c r="CD170" s="20" t="n"/>
      <c r="CE170" s="20" t="n"/>
      <c r="CF170" s="20" t="n"/>
      <c r="CG170" s="20" t="n"/>
      <c r="CH170" s="20" t="n"/>
      <c r="CI170" s="20" t="n"/>
      <c r="CJ170" s="20" t="n"/>
      <c r="CK170" s="20" t="n"/>
      <c r="CL170" s="25" t="n"/>
      <c r="CM170" s="25" t="n"/>
      <c r="CN170" s="25" t="n"/>
      <c r="CO170" s="25" t="n"/>
      <c r="CP170" s="25" t="n"/>
      <c r="CQ170" s="25" t="n"/>
      <c r="CR170" s="25" t="n"/>
      <c r="CS170" s="25" t="n"/>
      <c r="CT170" s="25" t="n"/>
      <c r="CU170" s="25" t="n"/>
      <c r="CV170" s="25" t="n"/>
      <c r="CW170" s="25" t="n"/>
      <c r="CX170" s="25" t="n"/>
      <c r="CY170" s="25" t="n"/>
      <c r="CZ170" s="25" t="n"/>
      <c r="DA170" s="25">
        <f>48</f>
        <v/>
      </c>
      <c r="DB170" s="25" t="n"/>
      <c r="DC170" s="25" t="n"/>
      <c r="DD170" s="25" t="n"/>
      <c r="DE170" s="25" t="n"/>
      <c r="DF170" s="25">
        <f>144</f>
        <v/>
      </c>
      <c r="DG170" s="25" t="n"/>
      <c r="DH170" s="25" t="n"/>
      <c r="DI170" s="25" t="n"/>
      <c r="DJ170" s="25" t="n"/>
      <c r="DK170" s="25" t="n"/>
      <c r="DL170" s="25" t="n"/>
      <c r="DM170" s="25" t="n"/>
      <c r="DN170" s="25" t="n"/>
      <c r="DO170" s="25" t="n"/>
      <c r="DP170" s="25" t="n"/>
      <c r="DQ170" s="25" t="n"/>
      <c r="DR170" s="25" t="n"/>
      <c r="DS170" s="25" t="n"/>
      <c r="DT170" s="25" t="n"/>
      <c r="DU170" s="25" t="n"/>
      <c r="DV170" s="24">
        <f>SUM(BC170:DS170)</f>
        <v/>
      </c>
      <c r="DW170" s="24">
        <f>DV170*AU170</f>
        <v/>
      </c>
      <c r="DX170" s="24">
        <f>DV170</f>
        <v/>
      </c>
      <c r="DY170" s="7">
        <f>DV170*AY170</f>
        <v/>
      </c>
      <c r="DZ170" s="52">
        <f>DY170*1.07</f>
        <v/>
      </c>
      <c r="EA170" s="22">
        <f>IFERROR(DY170/AZ170,0)</f>
        <v/>
      </c>
      <c r="EB170" s="20" t="n"/>
      <c r="EC170" s="20" t="n"/>
      <c r="ED170" s="20" t="n"/>
      <c r="EE170" s="20">
        <f>IF(EB170&lt;&gt;"",EB170*ED170,0)</f>
        <v/>
      </c>
      <c r="EF170" s="20">
        <f>DV170-EE170</f>
        <v/>
      </c>
      <c r="EG170" s="20">
        <f>EF170*AU170</f>
        <v/>
      </c>
      <c r="EH170" s="20">
        <f>EF170</f>
        <v/>
      </c>
      <c r="EI170" s="20">
        <f>IFERROR(EH170/DV170,0)</f>
        <v/>
      </c>
      <c r="EJ170" s="20">
        <f>IFERROR(EH170*AY170/1000,0)</f>
        <v/>
      </c>
      <c r="EK170" s="20">
        <f>EJ170*1.07</f>
        <v/>
      </c>
      <c r="EL170" s="20" t="n"/>
      <c r="EM170" s="20" t="n"/>
    </row>
    <row r="171" ht="12.75" customHeight="1">
      <c r="AZ171" s="51">
        <f>SUM(AZ157:AZ170)</f>
        <v/>
      </c>
      <c r="BA171" s="51">
        <f>SUM(BA157:BA170)</f>
        <v/>
      </c>
      <c r="DY171" s="50">
        <f>SUM(DY157:DY170)</f>
        <v/>
      </c>
      <c r="DZ171" s="8">
        <f>SUM(DZ157:DZ170)</f>
        <v/>
      </c>
    </row>
    <row r="172" ht="12.75" customHeight="1">
      <c r="AV172" s="49" t="inlineStr">
        <is>
          <t>Mockupwall</t>
        </is>
      </c>
      <c r="AZ172" s="48" t="n"/>
      <c r="BA172" s="48" t="n"/>
      <c r="DY172" s="47" t="n"/>
      <c r="DZ172" s="47" t="n"/>
    </row>
    <row r="173" ht="12.75" customHeight="1">
      <c r="A173" s="42" t="inlineStr">
        <is>
          <t>Invoice</t>
        </is>
      </c>
      <c r="B173" s="46" t="n">
        <v>1</v>
      </c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  <c r="AD173" s="25" t="n"/>
      <c r="AE173" s="25" t="n"/>
      <c r="AF173" s="25" t="n"/>
      <c r="AG173" s="25" t="n"/>
      <c r="AH173" s="25" t="n"/>
      <c r="AI173" s="25" t="n"/>
      <c r="AJ173" s="25" t="n"/>
      <c r="AK173" s="25" t="n"/>
      <c r="AL173" s="25" t="n"/>
      <c r="AM173" s="25" t="n"/>
      <c r="AN173" s="25" t="n"/>
      <c r="AO173" s="25" t="n"/>
      <c r="AP173" s="24">
        <f>SUM(D173:AO173)</f>
        <v/>
      </c>
      <c r="AQ173" s="24">
        <f>SUM(B173:AO173)</f>
        <v/>
      </c>
      <c r="AR173" s="21" t="n"/>
      <c r="AS173" s="20" t="n"/>
      <c r="AT173" s="20" t="n"/>
      <c r="AU173" s="20" t="n"/>
      <c r="AV173" s="357" t="inlineStr">
        <is>
          <t xml:space="preserve"> 10'X125' COMMERCIAL D TYVEK </t>
        </is>
      </c>
      <c r="AW173" s="20" t="n"/>
      <c r="AX173" s="20" t="n"/>
      <c r="AY173" s="44" t="n">
        <v>405</v>
      </c>
      <c r="AZ173" s="14">
        <f>AQ173*AY173</f>
        <v/>
      </c>
      <c r="BA173" s="15">
        <f>AZ173*1.06</f>
        <v/>
      </c>
      <c r="BB173" s="34" t="n">
        <v>68981010</v>
      </c>
      <c r="BC173" s="38" t="n"/>
      <c r="BD173" s="38" t="n"/>
      <c r="BE173" s="38" t="n">
        <v>2</v>
      </c>
      <c r="BF173" s="20" t="n"/>
      <c r="BG173" s="20" t="n"/>
      <c r="BH173" s="20" t="n"/>
      <c r="BI173" s="20" t="n"/>
      <c r="BJ173" s="20" t="n"/>
      <c r="BK173" s="20" t="n"/>
      <c r="BL173" s="20" t="n"/>
      <c r="BM173" s="20" t="n"/>
      <c r="BN173" s="20" t="n"/>
      <c r="BO173" s="20" t="n"/>
      <c r="BP173" s="20" t="n"/>
      <c r="BQ173" s="20" t="n"/>
      <c r="BR173" s="20" t="n"/>
      <c r="BS173" s="20" t="n"/>
      <c r="BT173" s="20" t="n"/>
      <c r="BU173" s="20" t="n"/>
      <c r="BV173" s="20" t="n"/>
      <c r="BW173" s="20" t="n"/>
      <c r="BX173" s="20" t="n"/>
      <c r="BY173" s="20" t="n"/>
      <c r="BZ173" s="20" t="n"/>
      <c r="CA173" s="20" t="n"/>
      <c r="CB173" s="20" t="n"/>
      <c r="CC173" s="20" t="n"/>
      <c r="CD173" s="20" t="n"/>
      <c r="CE173" s="20" t="n"/>
      <c r="CF173" s="20" t="n"/>
      <c r="CG173" s="20" t="n"/>
      <c r="CH173" s="20" t="n"/>
      <c r="CI173" s="20" t="n"/>
      <c r="CJ173" s="20" t="n"/>
      <c r="CK173" s="20" t="n"/>
      <c r="CL173" s="20" t="n"/>
      <c r="CM173" s="20" t="n"/>
      <c r="CN173" s="20" t="n"/>
      <c r="CO173" s="20" t="n"/>
      <c r="CP173" s="20" t="n"/>
      <c r="CQ173" s="20" t="n"/>
      <c r="CR173" s="20" t="n"/>
      <c r="CS173" s="20" t="n"/>
      <c r="CT173" s="20" t="n"/>
      <c r="CU173" s="20" t="n"/>
      <c r="CV173" s="20" t="n"/>
      <c r="CW173" s="20" t="n"/>
      <c r="CX173" s="20" t="n"/>
      <c r="CY173" s="20" t="n"/>
      <c r="CZ173" s="20" t="n"/>
      <c r="DA173" s="20" t="n"/>
      <c r="DB173" s="20" t="n"/>
      <c r="DC173" s="20" t="n"/>
      <c r="DD173" s="20" t="n"/>
      <c r="DE173" s="20" t="n"/>
      <c r="DF173" s="20" t="n"/>
      <c r="DG173" s="20" t="n"/>
      <c r="DH173" s="20" t="n"/>
      <c r="DI173" s="20" t="n"/>
      <c r="DJ173" s="20" t="n"/>
      <c r="DK173" s="20" t="n"/>
      <c r="DL173" s="20" t="n"/>
      <c r="DM173" s="20" t="n"/>
      <c r="DN173" s="20" t="n"/>
      <c r="DO173" s="20" t="n"/>
      <c r="DP173" s="20" t="n"/>
      <c r="DQ173" s="20" t="n"/>
      <c r="DR173" s="20" t="n"/>
      <c r="DS173" s="20" t="n"/>
      <c r="DT173" s="20" t="n"/>
      <c r="DU173" s="20" t="n"/>
      <c r="DV173" s="34">
        <f>SUM(BC173:DS173)</f>
        <v/>
      </c>
      <c r="DW173" s="34">
        <f>DV173*AU173</f>
        <v/>
      </c>
      <c r="DX173" s="43">
        <f>DV173</f>
        <v/>
      </c>
      <c r="DY173" s="14">
        <f>DV173*AY173</f>
        <v/>
      </c>
      <c r="DZ173" s="23">
        <f>DY173*1.07</f>
        <v/>
      </c>
      <c r="EA173" s="22">
        <f>IFERROR(DY173/AZ173,0)</f>
        <v/>
      </c>
      <c r="EB173" s="20" t="n"/>
      <c r="EC173" s="20" t="n"/>
      <c r="ED173" s="20" t="n"/>
      <c r="EE173" s="20">
        <f>IF(EB173&lt;&gt;"",EB173*ED173,0)</f>
        <v/>
      </c>
      <c r="EF173" s="20">
        <f>DV173-EE173</f>
        <v/>
      </c>
      <c r="EG173" s="20">
        <f>EF173*AU173</f>
        <v/>
      </c>
      <c r="EH173" s="20">
        <f>EF173</f>
        <v/>
      </c>
      <c r="EI173" s="20">
        <f>IFERROR(EH173/DV173,0)</f>
        <v/>
      </c>
      <c r="EJ173" s="20">
        <f>IFERROR(EH173*AY173/1000,0)</f>
        <v/>
      </c>
      <c r="EK173" s="20">
        <f>EJ173*1.07</f>
        <v/>
      </c>
      <c r="EL173" s="20" t="n"/>
      <c r="EM173" s="20" t="n"/>
    </row>
    <row r="174" ht="12.75" customHeight="1">
      <c r="A174" s="42" t="inlineStr">
        <is>
          <t>Invoice</t>
        </is>
      </c>
      <c r="B174" s="41" t="n">
        <v>4</v>
      </c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4">
        <f>SUM(D174:AO174)</f>
        <v/>
      </c>
      <c r="AQ174" s="34">
        <f>SUM(B174:AO174)</f>
        <v/>
      </c>
      <c r="AR174" s="37" t="n"/>
      <c r="AS174" s="35" t="n"/>
      <c r="AT174" s="35" t="n"/>
      <c r="AU174" s="35" t="n"/>
      <c r="AV174" s="356" t="inlineStr">
        <is>
          <t xml:space="preserve"> 6"X125' TYVEK </t>
        </is>
      </c>
      <c r="AW174" s="35" t="n"/>
      <c r="AX174" s="35" t="n"/>
      <c r="AY174" s="39" t="n">
        <v>152.5</v>
      </c>
      <c r="AZ174" s="14">
        <f>AQ174*AY174</f>
        <v/>
      </c>
      <c r="BA174" s="15">
        <f>AZ174*1.06</f>
        <v/>
      </c>
      <c r="BB174" s="34" t="n">
        <v>68981010</v>
      </c>
      <c r="BC174" s="38" t="n"/>
      <c r="BD174" s="38" t="n"/>
      <c r="BE174" s="34" t="n">
        <v>4</v>
      </c>
      <c r="BF174" s="37" t="n"/>
      <c r="BG174" s="35" t="n"/>
      <c r="BH174" s="35" t="n"/>
      <c r="BI174" s="35" t="n"/>
      <c r="BJ174" s="35" t="n"/>
      <c r="BK174" s="35" t="n"/>
      <c r="BL174" s="35" t="n"/>
      <c r="BM174" s="35" t="n"/>
      <c r="BN174" s="35" t="n"/>
      <c r="BO174" s="35" t="n"/>
      <c r="BP174" s="35" t="n"/>
      <c r="BQ174" s="35" t="n"/>
      <c r="BR174" s="35" t="n"/>
      <c r="BS174" s="35" t="n"/>
      <c r="BT174" s="35" t="n"/>
      <c r="BU174" s="35" t="n"/>
      <c r="BV174" s="35" t="n"/>
      <c r="BW174" s="35" t="n"/>
      <c r="BX174" s="35" t="n"/>
      <c r="BY174" s="35" t="n"/>
      <c r="BZ174" s="35" t="n"/>
      <c r="CA174" s="35" t="n"/>
      <c r="CB174" s="35" t="n"/>
      <c r="CC174" s="35" t="n"/>
      <c r="CD174" s="35" t="n"/>
      <c r="CE174" s="35" t="n"/>
      <c r="CF174" s="35" t="n"/>
      <c r="CG174" s="35" t="n"/>
      <c r="CH174" s="35" t="n"/>
      <c r="CI174" s="35" t="n"/>
      <c r="CJ174" s="35" t="n"/>
      <c r="CK174" s="35" t="n"/>
      <c r="CL174" s="36" t="n"/>
      <c r="CM174" s="36" t="n"/>
      <c r="CN174" s="36" t="n"/>
      <c r="CO174" s="36" t="n"/>
      <c r="CP174" s="36" t="n"/>
      <c r="CQ174" s="36" t="n"/>
      <c r="CR174" s="36" t="n"/>
      <c r="CS174" s="36" t="n"/>
      <c r="CT174" s="36" t="n"/>
      <c r="CU174" s="36" t="n"/>
      <c r="CV174" s="36" t="n"/>
      <c r="CW174" s="36" t="n"/>
      <c r="CX174" s="36" t="n"/>
      <c r="CY174" s="36" t="n"/>
      <c r="CZ174" s="36" t="n"/>
      <c r="DA174" s="36" t="n"/>
      <c r="DB174" s="36" t="n"/>
      <c r="DC174" s="36" t="n"/>
      <c r="DD174" s="36" t="n"/>
      <c r="DE174" s="36" t="n"/>
      <c r="DF174" s="36" t="n"/>
      <c r="DG174" s="36" t="n"/>
      <c r="DH174" s="36" t="n"/>
      <c r="DI174" s="36" t="n"/>
      <c r="DJ174" s="36" t="n"/>
      <c r="DK174" s="36" t="n"/>
      <c r="DL174" s="36" t="n"/>
      <c r="DM174" s="36" t="n"/>
      <c r="DN174" s="36" t="n"/>
      <c r="DO174" s="36" t="n"/>
      <c r="DP174" s="36" t="n"/>
      <c r="DQ174" s="36" t="n"/>
      <c r="DR174" s="36" t="n"/>
      <c r="DS174" s="36" t="n"/>
      <c r="DT174" s="36" t="n"/>
      <c r="DU174" s="36" t="n"/>
      <c r="DV174" s="34">
        <f>SUM(BC174:DS174)</f>
        <v/>
      </c>
      <c r="DW174" s="34">
        <f>DV174*AU174</f>
        <v/>
      </c>
      <c r="DX174" s="34">
        <f>DV174</f>
        <v/>
      </c>
      <c r="DY174" s="14">
        <f>DV174*AY174</f>
        <v/>
      </c>
      <c r="DZ174" s="33">
        <f>DY174*1.07</f>
        <v/>
      </c>
      <c r="EA174" s="32">
        <f>IFERROR(DY174/AZ174,0)</f>
        <v/>
      </c>
      <c r="EB174" s="35" t="n"/>
      <c r="EC174" s="35" t="n"/>
      <c r="ED174" s="35" t="n"/>
      <c r="EE174" s="35">
        <f>IF(EB174&lt;&gt;"",EB174*ED174,0)</f>
        <v/>
      </c>
      <c r="EF174" s="35">
        <f>DV174-EE174</f>
        <v/>
      </c>
      <c r="EG174" s="35">
        <f>EF174*AU174</f>
        <v/>
      </c>
      <c r="EH174" s="35">
        <f>EF174</f>
        <v/>
      </c>
      <c r="EI174" s="35">
        <f>IFERROR(EH174/DV174,0)</f>
        <v/>
      </c>
      <c r="EJ174" s="35">
        <f>IFERROR(EH174*AY174/1000,0)</f>
        <v/>
      </c>
      <c r="EK174" s="35">
        <f>EJ174*1.07</f>
        <v/>
      </c>
      <c r="EL174" s="35" t="n"/>
      <c r="EM174" s="35" t="n"/>
    </row>
    <row r="175" ht="13.15" customHeight="1">
      <c r="A175" s="31" t="inlineStr">
        <is>
          <t>Invoice</t>
        </is>
      </c>
      <c r="B175" s="30" t="n">
        <v>3</v>
      </c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0" t="n"/>
      <c r="AP175" s="34">
        <f>SUM(D175:AO175)</f>
        <v/>
      </c>
      <c r="AQ175" s="34">
        <f>SUM(B175:AO175)</f>
        <v/>
      </c>
      <c r="AR175" s="20" t="n"/>
      <c r="AS175" s="20" t="n"/>
      <c r="AT175" s="20" t="n"/>
      <c r="AU175" s="20" t="n"/>
      <c r="AV175" s="29" t="inlineStr">
        <is>
          <t xml:space="preserve">  TREX SADDLE SQUARE EDGE 1X6X16</t>
        </is>
      </c>
      <c r="AW175" s="20" t="n"/>
      <c r="AX175" s="20" t="n"/>
      <c r="AY175" s="28" t="n">
        <v>54.3</v>
      </c>
      <c r="AZ175" s="7">
        <f>AQ175*AY175</f>
        <v/>
      </c>
      <c r="BA175" s="7">
        <f>AZ175*1.06</f>
        <v/>
      </c>
      <c r="BB175" s="34" t="n">
        <v>68981013</v>
      </c>
      <c r="BC175" s="24" t="n"/>
      <c r="BD175" s="34" t="n"/>
      <c r="BE175" s="34" t="n">
        <v>6</v>
      </c>
      <c r="BF175" s="20" t="n"/>
      <c r="BG175" s="20" t="n"/>
      <c r="BH175" s="20" t="n"/>
      <c r="BI175" s="20" t="n"/>
      <c r="BJ175" s="20" t="n"/>
      <c r="BK175" s="20" t="n"/>
      <c r="BL175" s="20" t="n"/>
      <c r="BM175" s="20" t="n"/>
      <c r="BN175" s="20" t="n"/>
      <c r="BO175" s="20" t="n"/>
      <c r="BP175" s="20" t="n"/>
      <c r="BQ175" s="20" t="n"/>
      <c r="BR175" s="20" t="n"/>
      <c r="BS175" s="20" t="n"/>
      <c r="BT175" s="20" t="n"/>
      <c r="BU175" s="20" t="n"/>
      <c r="BV175" s="20" t="n"/>
      <c r="BW175" s="20" t="n"/>
      <c r="BX175" s="20" t="n"/>
      <c r="BY175" s="20" t="n"/>
      <c r="BZ175" s="20" t="n"/>
      <c r="CA175" s="20" t="n"/>
      <c r="CB175" s="20" t="n"/>
      <c r="CC175" s="20" t="n"/>
      <c r="CD175" s="20" t="n"/>
      <c r="CE175" s="20" t="n"/>
      <c r="CF175" s="20" t="n"/>
      <c r="CG175" s="20" t="n"/>
      <c r="CH175" s="20" t="n"/>
      <c r="CI175" s="20" t="n"/>
      <c r="CJ175" s="20" t="n"/>
      <c r="CK175" s="20" t="n"/>
      <c r="CL175" s="20" t="n"/>
      <c r="CM175" s="20" t="n"/>
      <c r="CN175" s="20" t="n"/>
      <c r="CO175" s="20" t="n"/>
      <c r="CP175" s="20" t="n"/>
      <c r="CQ175" s="20" t="n"/>
      <c r="CR175" s="20" t="n"/>
      <c r="CS175" s="20" t="n"/>
      <c r="CT175" s="20" t="n"/>
      <c r="CU175" s="20" t="n"/>
      <c r="CV175" s="20" t="n"/>
      <c r="CW175" s="20" t="n"/>
      <c r="CX175" s="20" t="n"/>
      <c r="CY175" s="20" t="n"/>
      <c r="CZ175" s="20" t="n"/>
      <c r="DA175" s="20" t="n"/>
      <c r="DB175" s="20" t="n"/>
      <c r="DC175" s="20" t="n"/>
      <c r="DD175" s="20" t="n"/>
      <c r="DE175" s="20" t="n"/>
      <c r="DF175" s="20" t="n"/>
      <c r="DG175" s="20" t="n"/>
      <c r="DH175" s="20" t="n"/>
      <c r="DI175" s="20" t="n"/>
      <c r="DJ175" s="20" t="n"/>
      <c r="DK175" s="20" t="n"/>
      <c r="DL175" s="20" t="n"/>
      <c r="DM175" s="20" t="n"/>
      <c r="DN175" s="20" t="n"/>
      <c r="DO175" s="20" t="n"/>
      <c r="DP175" s="20" t="n"/>
      <c r="DQ175" s="20" t="n"/>
      <c r="DR175" s="20" t="n"/>
      <c r="DS175" s="20" t="n"/>
      <c r="DT175" s="20" t="n"/>
      <c r="DU175" s="20" t="n"/>
      <c r="DV175" s="34">
        <f>SUM(BC175:DS175)</f>
        <v/>
      </c>
      <c r="DW175" s="34">
        <f>DV175*AU175</f>
        <v/>
      </c>
      <c r="DX175" s="34">
        <f>DV175</f>
        <v/>
      </c>
      <c r="DY175" s="14">
        <f>DV175*AY175</f>
        <v/>
      </c>
      <c r="DZ175" s="33">
        <f>DY175*1.07</f>
        <v/>
      </c>
      <c r="EA175" s="32">
        <f>IFERROR(DY175/AZ175,0)</f>
        <v/>
      </c>
      <c r="EB175" s="20" t="n"/>
      <c r="EC175" s="20" t="n"/>
      <c r="ED175" s="20" t="n"/>
      <c r="EE175" s="20">
        <f>IF(EB175&lt;&gt;"",EB175*ED175,0)</f>
        <v/>
      </c>
      <c r="EF175" s="20">
        <f>DV175-EE175</f>
        <v/>
      </c>
      <c r="EG175" s="20">
        <f>EF175*AU175</f>
        <v/>
      </c>
      <c r="EH175" s="20">
        <f>EF175</f>
        <v/>
      </c>
      <c r="EI175" s="20">
        <f>IFERROR(EH175/DV175,0)</f>
        <v/>
      </c>
      <c r="EJ175" s="20">
        <f>IFERROR(EH175*AY175/1000,0)</f>
        <v/>
      </c>
      <c r="EK175" s="20">
        <f>EJ175*1.07</f>
        <v/>
      </c>
      <c r="EL175" s="20" t="n"/>
      <c r="EM175" s="20" t="n"/>
    </row>
    <row r="176" ht="13.15" customHeight="1">
      <c r="A176" s="31" t="inlineStr">
        <is>
          <t>Invoice</t>
        </is>
      </c>
      <c r="B176" s="30" t="n">
        <v>15</v>
      </c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  <c r="AL176" s="25" t="n"/>
      <c r="AM176" s="25" t="n"/>
      <c r="AN176" s="25" t="n"/>
      <c r="AO176" s="25" t="n"/>
      <c r="AP176" s="24">
        <f>SUM(D176:AO176)</f>
        <v/>
      </c>
      <c r="AQ176" s="24">
        <f>SUM(B176:AO176)</f>
        <v/>
      </c>
      <c r="AR176" s="21" t="n"/>
      <c r="AS176" s="20" t="n"/>
      <c r="AT176" s="20" t="n"/>
      <c r="AU176" s="20" t="n"/>
      <c r="AV176" s="29" t="inlineStr">
        <is>
          <t>TREX SADDLE GROOVED  1X6X16</t>
        </is>
      </c>
      <c r="AW176" s="20" t="n"/>
      <c r="AX176" s="20" t="n"/>
      <c r="AY176" s="28" t="n">
        <v>54.3</v>
      </c>
      <c r="AZ176" s="7">
        <f>AQ176*AY176</f>
        <v/>
      </c>
      <c r="BA176" s="27">
        <f>AZ176*1.06</f>
        <v/>
      </c>
      <c r="BB176" s="24" t="n">
        <v>68981013</v>
      </c>
      <c r="BC176" s="26" t="n"/>
      <c r="BD176" s="26" t="n"/>
      <c r="BE176" s="24" t="n">
        <v>30</v>
      </c>
      <c r="BF176" s="21" t="n"/>
      <c r="BG176" s="20" t="n"/>
      <c r="BH176" s="20" t="n"/>
      <c r="BI176" s="20" t="n"/>
      <c r="BJ176" s="20" t="n"/>
      <c r="BK176" s="20" t="n"/>
      <c r="BL176" s="20" t="n"/>
      <c r="BM176" s="20" t="n"/>
      <c r="BN176" s="20" t="n"/>
      <c r="BO176" s="20" t="n"/>
      <c r="BP176" s="20" t="n"/>
      <c r="BQ176" s="20" t="n"/>
      <c r="BR176" s="20" t="n"/>
      <c r="BS176" s="20" t="n"/>
      <c r="BT176" s="20" t="n"/>
      <c r="BU176" s="20" t="n"/>
      <c r="BV176" s="20" t="n"/>
      <c r="BW176" s="20" t="n"/>
      <c r="BX176" s="20" t="n"/>
      <c r="BY176" s="20" t="n"/>
      <c r="BZ176" s="20" t="n"/>
      <c r="CA176" s="20" t="n"/>
      <c r="CB176" s="20" t="n"/>
      <c r="CC176" s="20" t="n"/>
      <c r="CD176" s="20" t="n"/>
      <c r="CE176" s="20" t="n"/>
      <c r="CF176" s="20" t="n"/>
      <c r="CG176" s="20" t="n"/>
      <c r="CH176" s="20" t="n"/>
      <c r="CI176" s="20" t="n"/>
      <c r="CJ176" s="20" t="n"/>
      <c r="CK176" s="20" t="n"/>
      <c r="CL176" s="25" t="n"/>
      <c r="CM176" s="25" t="n"/>
      <c r="CN176" s="25" t="n"/>
      <c r="CO176" s="25" t="n"/>
      <c r="CP176" s="25" t="n"/>
      <c r="CQ176" s="25" t="n"/>
      <c r="CR176" s="25" t="n"/>
      <c r="CS176" s="25" t="n"/>
      <c r="CT176" s="25" t="n"/>
      <c r="CU176" s="25" t="n"/>
      <c r="CV176" s="25" t="n"/>
      <c r="CW176" s="25" t="n"/>
      <c r="CX176" s="25" t="n"/>
      <c r="CY176" s="25" t="n"/>
      <c r="CZ176" s="25" t="n"/>
      <c r="DA176" s="25" t="n"/>
      <c r="DB176" s="25" t="n"/>
      <c r="DC176" s="25" t="n"/>
      <c r="DD176" s="25" t="n"/>
      <c r="DE176" s="25" t="n"/>
      <c r="DF176" s="25" t="n"/>
      <c r="DG176" s="25" t="n"/>
      <c r="DH176" s="25" t="n"/>
      <c r="DI176" s="25" t="n"/>
      <c r="DJ176" s="25" t="n"/>
      <c r="DK176" s="25" t="n"/>
      <c r="DL176" s="25" t="n"/>
      <c r="DM176" s="25" t="n"/>
      <c r="DN176" s="25" t="n"/>
      <c r="DO176" s="25" t="n"/>
      <c r="DP176" s="25" t="n"/>
      <c r="DQ176" s="25" t="n"/>
      <c r="DR176" s="25" t="n"/>
      <c r="DS176" s="25" t="n"/>
      <c r="DT176" s="25" t="n"/>
      <c r="DU176" s="25" t="n"/>
      <c r="DV176" s="24">
        <f>SUM(BC176:DS176)</f>
        <v/>
      </c>
      <c r="DW176" s="24">
        <f>DV176*AU176</f>
        <v/>
      </c>
      <c r="DX176" s="24">
        <f>DV176</f>
        <v/>
      </c>
      <c r="DY176" s="7">
        <f>DV176*AY176</f>
        <v/>
      </c>
      <c r="DZ176" s="23">
        <f>DY176*1.07</f>
        <v/>
      </c>
      <c r="EA176" s="22">
        <f>IFERROR(DY176/AZ176,0)</f>
        <v/>
      </c>
      <c r="EB176" s="21" t="n"/>
      <c r="EC176" s="20" t="n"/>
      <c r="ED176" s="20" t="n"/>
      <c r="EE176" s="20">
        <f>IF(EB176&lt;&gt;"",EB176*ED176,0)</f>
        <v/>
      </c>
      <c r="EF176" s="20">
        <f>DV176-EE176</f>
        <v/>
      </c>
      <c r="EG176" s="20">
        <f>EF176*AU176</f>
        <v/>
      </c>
      <c r="EH176" s="20">
        <f>EF176</f>
        <v/>
      </c>
      <c r="EI176" s="20">
        <f>IFERROR(EH176/DV176,0)</f>
        <v/>
      </c>
      <c r="EJ176" s="20">
        <f>IFERROR(EH176*AY176/1000,0)</f>
        <v/>
      </c>
      <c r="EK176" s="20">
        <f>EJ176*1.07</f>
        <v/>
      </c>
      <c r="EL176" s="20" t="n"/>
      <c r="EM176" s="20" t="n"/>
    </row>
    <row r="177" ht="12.75" customHeight="1">
      <c r="DY177" s="19">
        <f>SUM(DY173:DY176)</f>
        <v/>
      </c>
      <c r="DZ177" s="19">
        <f>SUM(DZ173:DZ176)</f>
        <v/>
      </c>
    </row>
    <row r="179" ht="12.75" customHeight="1">
      <c r="AY179" s="7" t="inlineStr">
        <is>
          <t>Total Cost</t>
        </is>
      </c>
      <c r="AZ179" s="8">
        <f>AZ153+AZ118+AZ171</f>
        <v/>
      </c>
      <c r="BA179" s="8">
        <f>BA153+BA118+BA171</f>
        <v/>
      </c>
      <c r="DW179" s="324" t="inlineStr">
        <is>
          <t>Inventory sheet cost</t>
        </is>
      </c>
      <c r="DX179" s="360" t="n"/>
      <c r="DY179" s="16">
        <f>DY118+DY153+DY171+DY177</f>
        <v/>
      </c>
      <c r="DZ179" s="16">
        <f>DZ118+DZ153+DZ171+DZ177</f>
        <v/>
      </c>
      <c r="EB179" s="4" t="n"/>
      <c r="EC179" s="4" t="n"/>
    </row>
    <row r="180" ht="12.75" customHeight="1">
      <c r="AY180" s="18" t="n"/>
      <c r="AZ180" s="18" t="n"/>
      <c r="BA180" s="18" t="n"/>
      <c r="DW180" s="12" t="n"/>
      <c r="DX180" s="12" t="n"/>
      <c r="DY180" s="12" t="n"/>
      <c r="DZ180" s="11" t="n"/>
    </row>
    <row r="181" ht="12.75" customHeight="1">
      <c r="AY181" s="18" t="n"/>
      <c r="AZ181" s="18" t="n"/>
      <c r="BA181" s="18" t="n"/>
      <c r="DW181" s="324" t="inlineStr">
        <is>
          <t>Reconsiliation sheet</t>
        </is>
      </c>
      <c r="DX181" s="360" t="n"/>
      <c r="DY181" s="16" t="n">
        <v>2250342.93</v>
      </c>
      <c r="DZ181" s="16" t="n">
        <v>2385413.51</v>
      </c>
    </row>
    <row r="182" ht="12.75" customHeight="1">
      <c r="AY182" s="15" t="inlineStr">
        <is>
          <t>Total PO Cost</t>
        </is>
      </c>
      <c r="AZ182" s="14">
        <f>1773540.21+228353.5</f>
        <v/>
      </c>
      <c r="BA182" s="13">
        <f>AZ182*1.06</f>
        <v/>
      </c>
      <c r="BE182" s="4" t="n"/>
      <c r="DW182" s="12" t="n"/>
      <c r="DX182" s="12" t="n"/>
      <c r="DY182" s="12" t="n"/>
      <c r="DZ182" s="11" t="n"/>
    </row>
    <row r="183" ht="12.75" customHeight="1">
      <c r="AY183" s="7" t="inlineStr">
        <is>
          <t>Total CO Cost</t>
        </is>
      </c>
      <c r="AZ183" s="7">
        <f>'[1]VPO''s'!G825</f>
        <v/>
      </c>
      <c r="BA183" s="10">
        <f>'[1]VPO''s'!I825</f>
        <v/>
      </c>
      <c r="BB183" s="4" t="n"/>
      <c r="BC183" s="4" t="n"/>
      <c r="BE183" s="4" t="n"/>
      <c r="DW183" s="324" t="n"/>
      <c r="DX183" s="360" t="n"/>
      <c r="DY183" s="8">
        <f>DY179-DY181</f>
        <v/>
      </c>
      <c r="DZ183" s="8">
        <f>DZ179-DZ181</f>
        <v/>
      </c>
    </row>
    <row r="184" ht="12.75" customHeight="1">
      <c r="AY184" s="7" t="inlineStr">
        <is>
          <t>Difference</t>
        </is>
      </c>
      <c r="AZ184" s="6">
        <f>AZ179-SUM(AZ182:AZ183)</f>
        <v/>
      </c>
      <c r="BA184" s="5">
        <f>BA179-SUM(BA182:BA183)</f>
        <v/>
      </c>
      <c r="BE184" s="4" t="n"/>
    </row>
    <row r="186" ht="12.75" customHeight="1">
      <c r="DY186" s="4" t="n"/>
    </row>
  </sheetData>
  <autoFilter ref="A2:EN2"/>
  <mergeCells count="149">
    <mergeCell ref="AC62:AC63"/>
    <mergeCell ref="AE62:AE63"/>
    <mergeCell ref="DU121:EA122"/>
    <mergeCell ref="C1:C2"/>
    <mergeCell ref="EI62:EI63"/>
    <mergeCell ref="E1:E2"/>
    <mergeCell ref="O1:O2"/>
    <mergeCell ref="DX1:DX2"/>
    <mergeCell ref="Q1:Q2"/>
    <mergeCell ref="AF62:AF63"/>
    <mergeCell ref="EJ1:EJ2"/>
    <mergeCell ref="S62:S63"/>
    <mergeCell ref="DW1:DW2"/>
    <mergeCell ref="AT62:AT63"/>
    <mergeCell ref="EG1:EG2"/>
    <mergeCell ref="EI1:EI2"/>
    <mergeCell ref="D62:D63"/>
    <mergeCell ref="T1:T2"/>
    <mergeCell ref="F62:F63"/>
    <mergeCell ref="P62:P63"/>
    <mergeCell ref="AX62:AX63"/>
    <mergeCell ref="AZ62:AZ63"/>
    <mergeCell ref="Z1:Z2"/>
    <mergeCell ref="AR1:AR2"/>
    <mergeCell ref="AJ1:AJ2"/>
    <mergeCell ref="AT1:AT2"/>
    <mergeCell ref="AL1:AL2"/>
    <mergeCell ref="V62:V63"/>
    <mergeCell ref="AH62:AH63"/>
    <mergeCell ref="DZ62:DZ63"/>
    <mergeCell ref="EL62:EL63"/>
    <mergeCell ref="H1:H2"/>
    <mergeCell ref="J1:J2"/>
    <mergeCell ref="Y62:Y63"/>
    <mergeCell ref="EC1:EC2"/>
    <mergeCell ref="AK62:AK63"/>
    <mergeCell ref="DZ1:DZ2"/>
    <mergeCell ref="DW181:DX181"/>
    <mergeCell ref="K1:K2"/>
    <mergeCell ref="EL1:EL2"/>
    <mergeCell ref="M1:M2"/>
    <mergeCell ref="W1:W2"/>
    <mergeCell ref="G62:G63"/>
    <mergeCell ref="AO62:AO63"/>
    <mergeCell ref="Y1:Y2"/>
    <mergeCell ref="I62:I63"/>
    <mergeCell ref="AQ62:AQ63"/>
    <mergeCell ref="BA62:BA63"/>
    <mergeCell ref="EB62:EB63"/>
    <mergeCell ref="DY62:DY63"/>
    <mergeCell ref="AC1:AC2"/>
    <mergeCell ref="AG1:AG2"/>
    <mergeCell ref="AE1:AE2"/>
    <mergeCell ref="O62:O63"/>
    <mergeCell ref="AW1:AW2"/>
    <mergeCell ref="AO1:AO2"/>
    <mergeCell ref="AY1:AY2"/>
    <mergeCell ref="AQ1:AQ2"/>
    <mergeCell ref="AA62:AA63"/>
    <mergeCell ref="EE62:EE63"/>
    <mergeCell ref="R62:R63"/>
    <mergeCell ref="H62:H63"/>
    <mergeCell ref="J62:J63"/>
    <mergeCell ref="AB62:AB63"/>
    <mergeCell ref="AD62:AD63"/>
    <mergeCell ref="EC62:EC63"/>
    <mergeCell ref="AP62:AP63"/>
    <mergeCell ref="AR62:AR63"/>
    <mergeCell ref="D1:D2"/>
    <mergeCell ref="EE1:EE2"/>
    <mergeCell ref="F1:F2"/>
    <mergeCell ref="AP121:AV122"/>
    <mergeCell ref="P1:P2"/>
    <mergeCell ref="R1:R2"/>
    <mergeCell ref="AB1:AB2"/>
    <mergeCell ref="L62:L63"/>
    <mergeCell ref="AD1:AD2"/>
    <mergeCell ref="AV62:AV63"/>
    <mergeCell ref="EF1:EF2"/>
    <mergeCell ref="V1:V2"/>
    <mergeCell ref="ED62:ED63"/>
    <mergeCell ref="AH1:AH2"/>
    <mergeCell ref="AW62:AW63"/>
    <mergeCell ref="BB1:BB2"/>
    <mergeCell ref="AY62:AY63"/>
    <mergeCell ref="EM62:EM63"/>
    <mergeCell ref="DW179:DX179"/>
    <mergeCell ref="EJ62:EJ63"/>
    <mergeCell ref="AK1:AK2"/>
    <mergeCell ref="U62:U63"/>
    <mergeCell ref="AM1:AM2"/>
    <mergeCell ref="W62:W63"/>
    <mergeCell ref="AG62:AG63"/>
    <mergeCell ref="AI62:AI63"/>
    <mergeCell ref="EH62:EH63"/>
    <mergeCell ref="DV1:DV2"/>
    <mergeCell ref="EK62:EK63"/>
    <mergeCell ref="G1:G2"/>
    <mergeCell ref="I1:I2"/>
    <mergeCell ref="S1:S2"/>
    <mergeCell ref="C62:C63"/>
    <mergeCell ref="BA1:BA2"/>
    <mergeCell ref="U1:U2"/>
    <mergeCell ref="E62:E63"/>
    <mergeCell ref="DX62:DX63"/>
    <mergeCell ref="DY1:DY2"/>
    <mergeCell ref="DW183:DX183"/>
    <mergeCell ref="EK1:EK2"/>
    <mergeCell ref="DW62:DW63"/>
    <mergeCell ref="EH1:EH2"/>
    <mergeCell ref="AA1:AA2"/>
    <mergeCell ref="AS1:AS2"/>
    <mergeCell ref="AU1:AU2"/>
    <mergeCell ref="B62:B63"/>
    <mergeCell ref="T62:T63"/>
    <mergeCell ref="BB62:BB63"/>
    <mergeCell ref="AI1:AI2"/>
    <mergeCell ref="EA62:EA63"/>
    <mergeCell ref="N62:N63"/>
    <mergeCell ref="AN1:AN2"/>
    <mergeCell ref="X62:X63"/>
    <mergeCell ref="EG62:EG63"/>
    <mergeCell ref="AP1:AP2"/>
    <mergeCell ref="Z62:Z63"/>
    <mergeCell ref="AJ62:AJ63"/>
    <mergeCell ref="AL62:AL63"/>
    <mergeCell ref="DV62:DV63"/>
    <mergeCell ref="EA1:EA2"/>
    <mergeCell ref="B1:B2"/>
    <mergeCell ref="EF62:EF63"/>
    <mergeCell ref="L1:L2"/>
    <mergeCell ref="N1:N2"/>
    <mergeCell ref="AF1:AF2"/>
    <mergeCell ref="X1:X2"/>
    <mergeCell ref="A121:AO122"/>
    <mergeCell ref="EB1:EB2"/>
    <mergeCell ref="ED1:ED2"/>
    <mergeCell ref="A62:A63"/>
    <mergeCell ref="EM1:EM2"/>
    <mergeCell ref="AV1:AV2"/>
    <mergeCell ref="K62:K63"/>
    <mergeCell ref="AX1:AX2"/>
    <mergeCell ref="AS62:AS63"/>
    <mergeCell ref="M62:M63"/>
    <mergeCell ref="AZ1:AZ2"/>
    <mergeCell ref="AU62:AU63"/>
    <mergeCell ref="Q62:Q63"/>
    <mergeCell ref="AP155:AV156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78"/>
  <sheetViews>
    <sheetView topLeftCell="X1" workbookViewId="0">
      <pane ySplit="2" topLeftCell="A58" activePane="bottomLeft" state="frozen"/>
      <selection pane="bottomLeft" activeCell="AA77" sqref="AA77"/>
    </sheetView>
  </sheetViews>
  <sheetFormatPr baseColWidth="8" defaultColWidth="9.1328125" defaultRowHeight="12.75" customHeight="1"/>
  <cols>
    <col width="6.59765625" bestFit="1" customWidth="1" style="329" min="1" max="1"/>
    <col width="9.1328125" customWidth="1" style="329" min="2" max="16"/>
    <col width="7.86328125" customWidth="1" style="329" min="17" max="17"/>
    <col width="9.1328125" customWidth="1" style="329" min="18" max="18"/>
    <col width="2.265625" bestFit="1" customWidth="1" style="329" min="19" max="19"/>
    <col width="2" bestFit="1" customWidth="1" style="329" min="20" max="20"/>
    <col width="2.86328125" bestFit="1" customWidth="1" style="329" min="21" max="21"/>
    <col width="6.3984375" bestFit="1" customWidth="1" style="329" min="22" max="22"/>
    <col width="32.265625" customWidth="1" style="329" min="23" max="23"/>
    <col width="7.265625" bestFit="1" customWidth="1" style="329" min="24" max="24"/>
    <col width="7.59765625" bestFit="1" customWidth="1" style="329" min="25" max="25"/>
    <col width="13.1328125" customWidth="1" style="4" min="26" max="26"/>
    <col width="12.1328125" bestFit="1" customWidth="1" style="4" min="27" max="27"/>
    <col width="14.59765625" bestFit="1" customWidth="1" style="4" min="28" max="28"/>
    <col width="8.59765625" customWidth="1" style="329" min="29" max="29"/>
    <col width="9" bestFit="1" customWidth="1" style="329" min="30" max="31"/>
    <col width="8.1328125" bestFit="1" customWidth="1" style="329" min="32" max="33"/>
    <col width="9" bestFit="1" customWidth="1" style="329" min="34" max="38"/>
    <col width="8.1328125" bestFit="1" customWidth="1" style="329" min="39" max="40"/>
    <col width="9.1328125" customWidth="1" style="329" min="41" max="48"/>
    <col width="5.3984375" bestFit="1" customWidth="1" style="329" min="49" max="49"/>
    <col width="10.59765625" bestFit="1" customWidth="1" style="329" min="50" max="50"/>
    <col width="12.3984375" customWidth="1" style="329" min="51" max="51"/>
    <col width="12.3984375" bestFit="1" customWidth="1" style="3" min="52" max="52"/>
    <col width="9.3984375" bestFit="1" customWidth="1" style="2" min="53" max="53"/>
    <col width="9.1328125" customWidth="1" style="329" min="54" max="54"/>
    <col width="5.265625" bestFit="1" customWidth="1" style="329" min="55" max="55"/>
    <col width="10.1328125" bestFit="1" customWidth="1" style="329" min="56" max="56"/>
    <col width="9.1328125" customWidth="1" style="329" min="57" max="57"/>
    <col width="6.265625" customWidth="1" style="329" min="58" max="58"/>
    <col width="5.3984375" customWidth="1" style="329" min="59" max="59"/>
    <col width="9.1328125" customWidth="1" style="329" min="60" max="60"/>
    <col width="8" bestFit="1" customWidth="1" style="329" min="61" max="61"/>
    <col width="11.1328125" customWidth="1" style="329" min="62" max="62"/>
    <col width="14.73046875" customWidth="1" style="329" min="63" max="63"/>
    <col width="9.1328125" customWidth="1" style="329" min="64" max="64"/>
    <col width="6.3984375" bestFit="1" customWidth="1" style="329" min="65" max="65"/>
    <col width="9.1328125" customWidth="1" style="329" min="66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CO 11.21.2025</t>
        </is>
      </c>
      <c r="D1" s="349" t="inlineStr">
        <is>
          <t>CO 11.24.2025</t>
        </is>
      </c>
      <c r="E1" s="349" t="inlineStr">
        <is>
          <t>CO 12.08.2025</t>
        </is>
      </c>
      <c r="F1" s="349" t="inlineStr">
        <is>
          <t>CO 12.10.2025</t>
        </is>
      </c>
      <c r="G1" s="349" t="inlineStr">
        <is>
          <t>CO 12.27.2025</t>
        </is>
      </c>
      <c r="H1" s="349" t="inlineStr">
        <is>
          <t>CO 12.22.2025</t>
        </is>
      </c>
      <c r="I1" s="349" t="inlineStr">
        <is>
          <t>CO 12.22.2025</t>
        </is>
      </c>
      <c r="J1" s="349" t="inlineStr">
        <is>
          <t>CO 12.29.2025</t>
        </is>
      </c>
      <c r="K1" s="349" t="inlineStr">
        <is>
          <t>CO 01.16.2026</t>
        </is>
      </c>
      <c r="L1" s="349" t="inlineStr">
        <is>
          <t>CO 01.23.2026</t>
        </is>
      </c>
      <c r="M1" s="349" t="inlineStr">
        <is>
          <t>CO 01.26.2026</t>
        </is>
      </c>
      <c r="N1" s="349" t="inlineStr">
        <is>
          <t>CO 03.13.2026</t>
        </is>
      </c>
      <c r="O1" s="349" t="inlineStr">
        <is>
          <t>CO 03.09.2026</t>
        </is>
      </c>
      <c r="P1" s="343" t="n"/>
      <c r="Q1" s="343" t="inlineStr">
        <is>
          <t>CO QTY</t>
        </is>
      </c>
      <c r="R1" s="352" t="inlineStr">
        <is>
          <t>PO + CO Qty</t>
        </is>
      </c>
      <c r="S1" s="349" t="inlineStr">
        <is>
          <t>T</t>
        </is>
      </c>
      <c r="T1" s="347" t="inlineStr">
        <is>
          <t>x</t>
        </is>
      </c>
      <c r="U1" s="349" t="inlineStr">
        <is>
          <t>W</t>
        </is>
      </c>
      <c r="V1" s="349" t="inlineStr">
        <is>
          <t>Length</t>
        </is>
      </c>
      <c r="W1" s="349" t="inlineStr">
        <is>
          <t>Material Type</t>
        </is>
      </c>
      <c r="X1" s="349" t="inlineStr">
        <is>
          <t>L/F-Pcs.</t>
        </is>
      </c>
      <c r="Y1" s="349" t="inlineStr">
        <is>
          <t>B/F-S/F</t>
        </is>
      </c>
      <c r="Z1" s="340" t="inlineStr">
        <is>
          <t>Cost/MBF/MSF</t>
        </is>
      </c>
      <c r="AA1" s="340" t="inlineStr">
        <is>
          <t>Total Cost</t>
        </is>
      </c>
      <c r="AB1" s="340" t="inlineStr">
        <is>
          <t>Total Cost + Tax</t>
        </is>
      </c>
      <c r="AC1" s="349" t="inlineStr">
        <is>
          <t>Invoice #</t>
        </is>
      </c>
      <c r="AD1" s="324" t="inlineStr">
        <is>
          <t>Material Delivery Dates</t>
        </is>
      </c>
      <c r="AE1" s="359" t="n"/>
      <c r="AF1" s="359" t="n"/>
      <c r="AG1" s="359" t="n"/>
      <c r="AH1" s="359" t="n"/>
      <c r="AI1" s="359" t="n"/>
      <c r="AJ1" s="359" t="n"/>
      <c r="AK1" s="359" t="n"/>
      <c r="AL1" s="359" t="n"/>
      <c r="AM1" s="359" t="n"/>
      <c r="AN1" s="359" t="n"/>
      <c r="AO1" s="359" t="n"/>
      <c r="AP1" s="359" t="n"/>
      <c r="AQ1" s="359" t="n"/>
      <c r="AR1" s="359" t="n"/>
      <c r="AS1" s="359" t="n"/>
      <c r="AT1" s="359" t="n"/>
      <c r="AU1" s="360" t="n"/>
      <c r="AV1" s="344" t="inlineStr">
        <is>
          <t>Total Delivered</t>
        </is>
      </c>
      <c r="AW1" s="346" t="inlineStr">
        <is>
          <t>L/F</t>
        </is>
      </c>
      <c r="AX1" s="336" t="inlineStr">
        <is>
          <t>B/f - S/f Qty</t>
        </is>
      </c>
      <c r="AY1" s="337" t="inlineStr">
        <is>
          <t>Cost</t>
        </is>
      </c>
      <c r="AZ1" s="338" t="inlineStr">
        <is>
          <t>Cost with Tax</t>
        </is>
      </c>
      <c r="BA1" s="339" t="inlineStr">
        <is>
          <t>% Delivery</t>
        </is>
      </c>
      <c r="BB1" s="333" t="inlineStr">
        <is>
          <t>Inventory (in Bundles)</t>
        </is>
      </c>
      <c r="BC1" s="333" t="inlineStr">
        <is>
          <t>UOM</t>
        </is>
      </c>
      <c r="BD1" s="333" t="inlineStr">
        <is>
          <t>PCS/Bundle</t>
        </is>
      </c>
      <c r="BE1" s="333" t="inlineStr">
        <is>
          <t>Inventory in PCS</t>
        </is>
      </c>
      <c r="BF1" s="334" t="inlineStr">
        <is>
          <t>Issues</t>
        </is>
      </c>
      <c r="BG1" s="334" t="inlineStr">
        <is>
          <t>L/F</t>
        </is>
      </c>
      <c r="BH1" s="335" t="inlineStr">
        <is>
          <t>B/f - S/f Qty</t>
        </is>
      </c>
      <c r="BI1" s="327" t="inlineStr">
        <is>
          <t>% Issued</t>
        </is>
      </c>
      <c r="BJ1" s="327" t="inlineStr">
        <is>
          <t>Cost</t>
        </is>
      </c>
      <c r="BK1" s="327" t="inlineStr">
        <is>
          <t>Cost with Tax</t>
        </is>
      </c>
      <c r="BL1" s="328" t="inlineStr">
        <is>
          <t>Variance Code</t>
        </is>
      </c>
      <c r="B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243" t="n"/>
      <c r="Q2" s="243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119" t="n">
        <v>45981</v>
      </c>
      <c r="AE2" s="119" t="n">
        <v>45987</v>
      </c>
      <c r="AF2" s="119" t="n">
        <v>45994</v>
      </c>
      <c r="AG2" s="119" t="n">
        <v>45999</v>
      </c>
      <c r="AH2" s="119" t="n">
        <v>46001</v>
      </c>
      <c r="AI2" s="119" t="n">
        <v>46006</v>
      </c>
      <c r="AJ2" s="119" t="n">
        <v>46009</v>
      </c>
      <c r="AK2" s="119" t="n">
        <v>46013</v>
      </c>
      <c r="AL2" s="119" t="n">
        <v>46387</v>
      </c>
      <c r="AM2" s="119" t="n">
        <v>46042</v>
      </c>
      <c r="AN2" s="119" t="n">
        <v>46050</v>
      </c>
      <c r="AO2" s="119" t="n">
        <v>46098</v>
      </c>
      <c r="AP2" s="119" t="n">
        <v>46041</v>
      </c>
      <c r="AQ2" s="119" t="n"/>
      <c r="AR2" s="119" t="n"/>
      <c r="AS2" s="119" t="n"/>
      <c r="AT2" s="119" t="n"/>
      <c r="AU2" s="119" t="n"/>
      <c r="AV2" s="372" t="n"/>
      <c r="AW2" s="373" t="n"/>
      <c r="AX2" s="374" t="n"/>
      <c r="AY2" s="374" t="n"/>
      <c r="AZ2" s="374" t="n"/>
      <c r="BA2" s="374" t="n"/>
      <c r="BB2" s="374" t="n"/>
      <c r="BC2" s="374" t="n"/>
      <c r="BD2" s="374" t="n"/>
      <c r="BE2" s="374" t="n"/>
      <c r="BF2" s="374" t="n"/>
      <c r="BG2" s="374" t="n"/>
      <c r="BH2" s="374" t="n"/>
      <c r="BI2" s="374" t="n"/>
      <c r="BJ2" s="374" t="n"/>
      <c r="BK2" s="374" t="n"/>
      <c r="BL2" s="374" t="n"/>
      <c r="BM2" s="374" t="n"/>
    </row>
    <row r="3" ht="11.65" customFormat="1" customHeight="1" s="12">
      <c r="A3" s="85" t="inlineStr">
        <is>
          <t>Lumber</t>
        </is>
      </c>
      <c r="B3" s="30" t="n">
        <v>2922</v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24" t="n"/>
      <c r="Q3" s="24">
        <f>SUM(C3:P3)</f>
        <v/>
      </c>
      <c r="R3" s="24">
        <f>SUM(B3:P3)</f>
        <v/>
      </c>
      <c r="S3" s="30" t="n">
        <v>2</v>
      </c>
      <c r="T3" s="29" t="inlineStr">
        <is>
          <t>x</t>
        </is>
      </c>
      <c r="U3" s="30" t="n">
        <v>4</v>
      </c>
      <c r="V3" s="30" t="n">
        <v>1</v>
      </c>
      <c r="W3" s="29" t="inlineStr">
        <is>
          <t>PT</t>
        </is>
      </c>
      <c r="X3" s="24">
        <f>R3*V3</f>
        <v/>
      </c>
      <c r="Y3" s="84">
        <f>(R3*S3*U3*V3)/12</f>
        <v/>
      </c>
      <c r="Z3" s="62" t="n">
        <v>785</v>
      </c>
      <c r="AA3" s="7">
        <f>(Y3*Z3)/1000</f>
        <v/>
      </c>
      <c r="AB3" s="83">
        <f>AA3*1.06</f>
        <v/>
      </c>
      <c r="AC3" s="149">
        <f>'Willow Way Apts'!AX3</f>
        <v/>
      </c>
      <c r="AD3" s="24">
        <f>208*12+208*12+208*12</f>
        <v/>
      </c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>
        <f>208*14</f>
        <v/>
      </c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>
        <f>SUM(AD3:AP3)</f>
        <v/>
      </c>
      <c r="AW3" s="24">
        <f>AV3*V3</f>
        <v/>
      </c>
      <c r="AX3" s="86">
        <f>AV3*S3*U3*V3/12</f>
        <v/>
      </c>
      <c r="AY3" s="7">
        <f>AX3*Z3/1000</f>
        <v/>
      </c>
      <c r="AZ3" s="23">
        <f>AY3*1.06</f>
        <v/>
      </c>
      <c r="BA3" s="22">
        <f>IFERROR(AY3/AA3,0)</f>
        <v/>
      </c>
      <c r="BB3" s="24" t="n"/>
      <c r="BC3" s="24" t="n"/>
      <c r="BD3" s="24" t="n"/>
      <c r="BE3" s="24">
        <f>IF(BB3&lt;&gt;"",BB3*BD3,0)</f>
        <v/>
      </c>
      <c r="BF3" s="24">
        <f>AV3-BE3</f>
        <v/>
      </c>
      <c r="BG3" s="24">
        <f>BF3*V3</f>
        <v/>
      </c>
      <c r="BH3" s="24">
        <f>(BF3*S3*U3*V3)/12</f>
        <v/>
      </c>
      <c r="BI3" s="24">
        <f>IFERROR(BH3/AV3,0)</f>
        <v/>
      </c>
      <c r="BJ3" s="24">
        <f>IFERROR(BH3*Z3/1000,0)</f>
        <v/>
      </c>
      <c r="BK3" s="24">
        <f>BJ3*1.06</f>
        <v/>
      </c>
      <c r="BL3" s="24" t="n"/>
      <c r="BM3" s="24" t="n"/>
    </row>
    <row r="4" ht="11.65" customFormat="1" customHeight="1" s="12">
      <c r="A4" s="85" t="inlineStr">
        <is>
          <t>Lumber</t>
        </is>
      </c>
      <c r="B4" s="30" t="n">
        <v>5</v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24" t="n"/>
      <c r="Q4" s="24">
        <f>SUM(C4:P4)</f>
        <v/>
      </c>
      <c r="R4" s="24">
        <f>SUM(B4:P4)</f>
        <v/>
      </c>
      <c r="S4" s="30" t="n">
        <v>2</v>
      </c>
      <c r="T4" s="29" t="inlineStr">
        <is>
          <t>x</t>
        </is>
      </c>
      <c r="U4" s="30" t="n">
        <v>4</v>
      </c>
      <c r="V4" s="30" t="n">
        <v>10</v>
      </c>
      <c r="W4" s="29" t="inlineStr">
        <is>
          <t>PT</t>
        </is>
      </c>
      <c r="X4" s="24">
        <f>R4*V4</f>
        <v/>
      </c>
      <c r="Y4" s="84">
        <f>(R4*S4*U4*V4)/12</f>
        <v/>
      </c>
      <c r="Z4" s="62" t="n">
        <v>785</v>
      </c>
      <c r="AA4" s="7">
        <f>(Y4*Z4)/1000</f>
        <v/>
      </c>
      <c r="AB4" s="83">
        <f>AA4*1.06</f>
        <v/>
      </c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4">
        <f>SUM(AD4:AP4)</f>
        <v/>
      </c>
      <c r="AW4" s="24">
        <f>AV4*V4</f>
        <v/>
      </c>
      <c r="AX4" s="24">
        <f>AV4*S4*U4*V4/12</f>
        <v/>
      </c>
      <c r="AY4" s="7">
        <f>AX4*Z4/1000</f>
        <v/>
      </c>
      <c r="AZ4" s="23">
        <f>AY4*1.06</f>
        <v/>
      </c>
      <c r="BA4" s="22">
        <f>IFERROR(AY4/AA4,0)</f>
        <v/>
      </c>
      <c r="BB4" s="24" t="n"/>
      <c r="BC4" s="24" t="n"/>
      <c r="BD4" s="24" t="n"/>
      <c r="BE4" s="24">
        <f>IF(BB4&lt;&gt;"",BB4*BD4,0)</f>
        <v/>
      </c>
      <c r="BF4" s="24">
        <f>AV4-BE4</f>
        <v/>
      </c>
      <c r="BG4" s="24">
        <f>BF4*V4</f>
        <v/>
      </c>
      <c r="BH4" s="24">
        <f>(BF4*S4*U4*V4)/12</f>
        <v/>
      </c>
      <c r="BI4" s="24">
        <f>IFERROR(BH4/AV4,0)</f>
        <v/>
      </c>
      <c r="BJ4" s="24">
        <f>IFERROR(BH4*Z4/1000,0)</f>
        <v/>
      </c>
      <c r="BK4" s="24">
        <f>BJ4*1.06</f>
        <v/>
      </c>
      <c r="BL4" s="24" t="n"/>
      <c r="BM4" s="24" t="n"/>
    </row>
    <row r="5" ht="34.9" customFormat="1" customHeight="1" s="12">
      <c r="A5" s="85" t="inlineStr">
        <is>
          <t>Lumber</t>
        </is>
      </c>
      <c r="B5" s="30" t="n">
        <v>2846</v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24" t="n"/>
      <c r="Q5" s="24">
        <f>SUM(C5:P5)</f>
        <v/>
      </c>
      <c r="R5" s="24">
        <f>SUM(B5:P5)</f>
        <v/>
      </c>
      <c r="S5" s="30" t="n">
        <v>2</v>
      </c>
      <c r="T5" s="29" t="inlineStr">
        <is>
          <t>x</t>
        </is>
      </c>
      <c r="U5" s="30" t="n">
        <v>6</v>
      </c>
      <c r="V5" s="30" t="n">
        <v>1</v>
      </c>
      <c r="W5" s="29" t="inlineStr">
        <is>
          <t>PT</t>
        </is>
      </c>
      <c r="X5" s="24">
        <f>R5*V5</f>
        <v/>
      </c>
      <c r="Y5" s="84">
        <f>(R5*S5*U5*V5)/12</f>
        <v/>
      </c>
      <c r="Z5" s="62" t="n">
        <v>785</v>
      </c>
      <c r="AA5" s="7">
        <f>(Y5*Z5)/1000</f>
        <v/>
      </c>
      <c r="AB5" s="83">
        <f>AA5*1.06</f>
        <v/>
      </c>
      <c r="AC5" s="53" t="inlineStr">
        <is>
          <t>60126012
60126014
60126021</t>
        </is>
      </c>
      <c r="AD5" s="24">
        <f>128*12+128*12+128*12</f>
        <v/>
      </c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>
        <f>SUM(AD5:AP5)</f>
        <v/>
      </c>
      <c r="AW5" s="24">
        <f>AV5*V5</f>
        <v/>
      </c>
      <c r="AX5" s="24">
        <f>AV5*S5*U5*V5/12</f>
        <v/>
      </c>
      <c r="AY5" s="7">
        <f>AX5*Z5/1000</f>
        <v/>
      </c>
      <c r="AZ5" s="23">
        <f>AY5*1.06</f>
        <v/>
      </c>
      <c r="BA5" s="22">
        <f>IFERROR(AY5/AA5,0)</f>
        <v/>
      </c>
      <c r="BB5" s="24" t="n"/>
      <c r="BC5" s="24" t="n"/>
      <c r="BD5" s="24" t="n"/>
      <c r="BE5" s="24">
        <f>IF(BB5&lt;&gt;"",BB5*BD5,0)</f>
        <v/>
      </c>
      <c r="BF5" s="24">
        <f>AV5-BE5</f>
        <v/>
      </c>
      <c r="BG5" s="24">
        <f>BF5*V5</f>
        <v/>
      </c>
      <c r="BH5" s="24">
        <f>(BF5*S5*U5*V5)/12</f>
        <v/>
      </c>
      <c r="BI5" s="24">
        <f>IFERROR(BH5/AV5,0)</f>
        <v/>
      </c>
      <c r="BJ5" s="24">
        <f>IFERROR(BH5*Z5/1000,0)</f>
        <v/>
      </c>
      <c r="BK5" s="24">
        <f>BJ5*1.06</f>
        <v/>
      </c>
      <c r="BL5" s="24" t="n"/>
      <c r="BM5" s="24" t="n"/>
    </row>
    <row r="6" ht="23.25" customFormat="1" customHeight="1" s="12">
      <c r="A6" s="85" t="inlineStr">
        <is>
          <t>Lumber</t>
        </is>
      </c>
      <c r="B6" s="30" t="n">
        <v>378</v>
      </c>
      <c r="C6" s="30" t="n"/>
      <c r="D6" s="30" t="n"/>
      <c r="E6" s="30" t="n"/>
      <c r="F6" s="30" t="n"/>
      <c r="G6" s="30" t="n"/>
      <c r="H6" s="30" t="n">
        <v>4032</v>
      </c>
      <c r="I6" s="30" t="n"/>
      <c r="J6" s="30" t="n"/>
      <c r="K6" s="30" t="n"/>
      <c r="L6" s="30" t="n"/>
      <c r="M6" s="30" t="n"/>
      <c r="N6" s="30" t="n"/>
      <c r="O6" s="30" t="n"/>
      <c r="P6" s="24" t="n"/>
      <c r="Q6" s="24">
        <f>SUM(C6:P6)</f>
        <v/>
      </c>
      <c r="R6" s="24">
        <f>SUM(B6:P6)</f>
        <v/>
      </c>
      <c r="S6" s="30" t="n">
        <v>2</v>
      </c>
      <c r="T6" s="29" t="inlineStr">
        <is>
          <t>x</t>
        </is>
      </c>
      <c r="U6" s="30" t="n">
        <v>8</v>
      </c>
      <c r="V6" s="30" t="n">
        <v>1</v>
      </c>
      <c r="W6" s="29" t="inlineStr">
        <is>
          <t>PT</t>
        </is>
      </c>
      <c r="X6" s="24">
        <f>R6*V6</f>
        <v/>
      </c>
      <c r="Y6" s="84">
        <f>(R6*S6*U6*V6)/12</f>
        <v/>
      </c>
      <c r="Z6" s="62" t="n">
        <v>815</v>
      </c>
      <c r="AA6" s="7">
        <f>(Y6*Z6)/1000</f>
        <v/>
      </c>
      <c r="AB6" s="83">
        <f>AA6*1.06</f>
        <v/>
      </c>
      <c r="AC6" s="53" t="inlineStr">
        <is>
          <t>60126020
60126033</t>
        </is>
      </c>
      <c r="AD6" s="24">
        <f>1*48*8</f>
        <v/>
      </c>
      <c r="AE6" s="24" t="n"/>
      <c r="AF6" s="24" t="n"/>
      <c r="AG6" s="24" t="n"/>
      <c r="AH6" s="24" t="n"/>
      <c r="AI6" s="24" t="n"/>
      <c r="AJ6" s="24" t="n"/>
      <c r="AK6" s="24" t="n"/>
      <c r="AL6" s="24">
        <f>3*96*14</f>
        <v/>
      </c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>
        <f>SUM(AD6:AP6)</f>
        <v/>
      </c>
      <c r="AW6" s="24">
        <f>AV6*V6</f>
        <v/>
      </c>
      <c r="AX6" s="24">
        <f>AV6*S6*U6*V6/12</f>
        <v/>
      </c>
      <c r="AY6" s="7">
        <f>AX6*Z6/1000</f>
        <v/>
      </c>
      <c r="AZ6" s="23">
        <f>AY6*1.06</f>
        <v/>
      </c>
      <c r="BA6" s="22">
        <f>IFERROR(AY6/AA6,0)</f>
        <v/>
      </c>
      <c r="BB6" s="24" t="n">
        <v>2</v>
      </c>
      <c r="BC6" s="24" t="n"/>
      <c r="BD6" s="24" t="n">
        <v>48</v>
      </c>
      <c r="BE6" s="24">
        <f>IF(BB6&lt;&gt;"",BB6*BD6,0)</f>
        <v/>
      </c>
      <c r="BF6" s="24">
        <f>AV6-BE6</f>
        <v/>
      </c>
      <c r="BG6" s="24">
        <f>BF6*V6</f>
        <v/>
      </c>
      <c r="BH6" s="24">
        <f>(BF6*S6*U6*V6)/12</f>
        <v/>
      </c>
      <c r="BI6" s="22">
        <f>IFERROR(BH6/AV6,0)</f>
        <v/>
      </c>
      <c r="BJ6" s="7">
        <f>IFERROR(BH6*Z6/1000,0)</f>
        <v/>
      </c>
      <c r="BK6" s="7">
        <f>BJ6*1.06</f>
        <v/>
      </c>
      <c r="BL6" s="24" t="n"/>
      <c r="BM6" s="24" t="n"/>
    </row>
    <row r="7" ht="23.25" customFormat="1" customHeight="1" s="12">
      <c r="A7" s="85" t="inlineStr">
        <is>
          <t>Lumber</t>
        </is>
      </c>
      <c r="B7" s="30" t="n">
        <v>5</v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24" t="n"/>
      <c r="Q7" s="24">
        <f>SUM(C7:P7)</f>
        <v/>
      </c>
      <c r="R7" s="24">
        <f>SUM(B7:P7)</f>
        <v/>
      </c>
      <c r="S7" s="30" t="n">
        <v>6</v>
      </c>
      <c r="T7" s="29" t="inlineStr">
        <is>
          <t>x</t>
        </is>
      </c>
      <c r="U7" s="30" t="n">
        <v>6</v>
      </c>
      <c r="V7" s="30" t="n">
        <v>10</v>
      </c>
      <c r="W7" s="29" t="inlineStr">
        <is>
          <t>PT</t>
        </is>
      </c>
      <c r="X7" s="24">
        <f>R7*V7</f>
        <v/>
      </c>
      <c r="Y7" s="84">
        <f>(R7*S7*U7*V7)/12</f>
        <v/>
      </c>
      <c r="Z7" s="62" t="n">
        <v>1145</v>
      </c>
      <c r="AA7" s="7">
        <f>(Y7*Z7)/1000</f>
        <v/>
      </c>
      <c r="AB7" s="83">
        <f>AA7*1.06</f>
        <v/>
      </c>
      <c r="AC7" s="53" t="inlineStr">
        <is>
          <t>60126012
60126014</t>
        </is>
      </c>
      <c r="AD7" s="24">
        <f>12+12</f>
        <v/>
      </c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>
        <f>SUM(AD7:AP7)</f>
        <v/>
      </c>
      <c r="AW7" s="24">
        <f>AV7*V7</f>
        <v/>
      </c>
      <c r="AX7" s="24">
        <f>AV7*S7*U7*V7/12</f>
        <v/>
      </c>
      <c r="AY7" s="7">
        <f>AX7*Z7/1000</f>
        <v/>
      </c>
      <c r="AZ7" s="23">
        <f>AY7*1.06</f>
        <v/>
      </c>
      <c r="BA7" s="22">
        <f>IFERROR(AY7/AA7,0)</f>
        <v/>
      </c>
      <c r="BB7" s="24" t="n"/>
      <c r="BC7" s="24" t="n"/>
      <c r="BD7" s="24" t="n"/>
      <c r="BE7" s="24">
        <f>IF(BB7&lt;&gt;"",BB7*BD7,0)</f>
        <v/>
      </c>
      <c r="BF7" s="24">
        <f>AV7-BE7</f>
        <v/>
      </c>
      <c r="BG7" s="24">
        <f>BF7*V7</f>
        <v/>
      </c>
      <c r="BH7" s="24">
        <f>(BF7*S7*U7*V7)/12</f>
        <v/>
      </c>
      <c r="BI7" s="24">
        <f>IFERROR(BH7/AV7,0)</f>
        <v/>
      </c>
      <c r="BJ7" s="24">
        <f>IFERROR(BH7*Z7/1000,0)</f>
        <v/>
      </c>
      <c r="BK7" s="24">
        <f>BJ7*1.06</f>
        <v/>
      </c>
      <c r="BL7" s="24" t="n"/>
      <c r="BM7" s="24" t="n"/>
    </row>
    <row r="8" ht="46.5" customFormat="1" customHeight="1" s="12">
      <c r="A8" s="85" t="inlineStr">
        <is>
          <t>Lumber</t>
        </is>
      </c>
      <c r="B8" s="30" t="n">
        <v>51980</v>
      </c>
      <c r="C8" s="30" t="n"/>
      <c r="D8" s="30" t="n"/>
      <c r="E8" s="30" t="n"/>
      <c r="F8" s="30" t="n"/>
      <c r="G8" s="30" t="n"/>
      <c r="H8" s="30" t="n"/>
      <c r="I8" s="30" t="n"/>
      <c r="J8" s="30" t="n">
        <v>2496</v>
      </c>
      <c r="K8" s="30" t="n">
        <v>2912</v>
      </c>
      <c r="L8" s="30" t="n">
        <v>7488</v>
      </c>
      <c r="M8" s="30" t="n"/>
      <c r="N8" s="30" t="n"/>
      <c r="O8" s="30" t="n"/>
      <c r="P8" s="24" t="n"/>
      <c r="Q8" s="24">
        <f>SUM(C8:P8)</f>
        <v/>
      </c>
      <c r="R8" s="24">
        <f>SUM(B8:P8)</f>
        <v/>
      </c>
      <c r="S8" s="30" t="n">
        <v>2</v>
      </c>
      <c r="T8" s="29" t="inlineStr">
        <is>
          <t>x</t>
        </is>
      </c>
      <c r="U8" s="30" t="n">
        <v>4</v>
      </c>
      <c r="V8" s="30" t="n">
        <v>1</v>
      </c>
      <c r="W8" s="29" t="inlineStr">
        <is>
          <t>SYP #2</t>
        </is>
      </c>
      <c r="X8" s="24">
        <f>R8*V8</f>
        <v/>
      </c>
      <c r="Y8" s="84">
        <f>(R8*S8*U8*V8)/12</f>
        <v/>
      </c>
      <c r="Z8" s="62" t="n">
        <v>515</v>
      </c>
      <c r="AA8" s="7">
        <f>(Y8*Z8)/1000</f>
        <v/>
      </c>
      <c r="AB8" s="83">
        <f>AA8*1.06</f>
        <v/>
      </c>
      <c r="AC8" s="53" t="inlineStr">
        <is>
          <t>60126004 60126043
60126019
60126039</t>
        </is>
      </c>
      <c r="AD8" s="24">
        <f>14*208*12</f>
        <v/>
      </c>
      <c r="AE8" s="24">
        <f>3120*12</f>
        <v/>
      </c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>
        <f>624*12</f>
        <v/>
      </c>
      <c r="AO8" s="24">
        <f>208*12</f>
        <v/>
      </c>
      <c r="AP8" s="24" t="n"/>
      <c r="AQ8" s="24" t="n"/>
      <c r="AR8" s="24" t="n"/>
      <c r="AS8" s="24" t="n"/>
      <c r="AT8" s="24" t="n"/>
      <c r="AU8" s="24" t="n"/>
      <c r="AV8" s="24">
        <f>SUM(AD8:AP8)</f>
        <v/>
      </c>
      <c r="AW8" s="24">
        <f>AV8*V8</f>
        <v/>
      </c>
      <c r="AX8" s="86">
        <f>AV8*S8*U8*V8/12</f>
        <v/>
      </c>
      <c r="AY8" s="7">
        <f>AX8*Z8/1000</f>
        <v/>
      </c>
      <c r="AZ8" s="23">
        <f>AY8*1.06</f>
        <v/>
      </c>
      <c r="BA8" s="22">
        <f>IFERROR(AY8/AA8,0)</f>
        <v/>
      </c>
      <c r="BB8" s="24" t="n"/>
      <c r="BC8" s="24" t="n"/>
      <c r="BD8" s="24" t="n">
        <v>208</v>
      </c>
      <c r="BE8" s="24">
        <f>IF(BB8&lt;&gt;"",BB8*BD8,0)</f>
        <v/>
      </c>
      <c r="BF8" s="24">
        <f>AV8-BE8</f>
        <v/>
      </c>
      <c r="BG8" s="24">
        <f>BF8*V8</f>
        <v/>
      </c>
      <c r="BH8" s="24">
        <f>(BF8*S8*U8*V8)/12</f>
        <v/>
      </c>
      <c r="BI8" s="24">
        <f>IFERROR(BH8/AV8,0)</f>
        <v/>
      </c>
      <c r="BJ8" s="24">
        <f>IFERROR(BH8*Z8/1000,0)</f>
        <v/>
      </c>
      <c r="BK8" s="24">
        <f>BJ8*1.06</f>
        <v/>
      </c>
      <c r="BL8" s="24" t="n"/>
      <c r="BM8" s="24" t="n"/>
    </row>
    <row r="9" ht="11.65" customFormat="1" customHeight="1" s="12">
      <c r="A9" s="85" t="inlineStr">
        <is>
          <t>Lumber</t>
        </is>
      </c>
      <c r="B9" s="30" t="n">
        <v>1175</v>
      </c>
      <c r="C9" s="30" t="n"/>
      <c r="D9" s="30" t="n"/>
      <c r="E9" s="30" t="n"/>
      <c r="F9" s="30">
        <f>9984</f>
        <v/>
      </c>
      <c r="G9" s="30" t="n"/>
      <c r="H9" s="30" t="n"/>
      <c r="I9" s="30" t="n"/>
      <c r="J9" s="30" t="n"/>
      <c r="K9" s="30" t="n"/>
      <c r="L9" s="30" t="n"/>
      <c r="M9" s="30" t="n"/>
      <c r="N9" s="30" t="n">
        <v>2496</v>
      </c>
      <c r="O9" s="30" t="n"/>
      <c r="P9" s="24" t="n"/>
      <c r="Q9" s="24">
        <f>SUM(C9:P9)</f>
        <v/>
      </c>
      <c r="R9" s="24">
        <f>SUM(B9:P9)</f>
        <v/>
      </c>
      <c r="S9" s="30" t="n">
        <v>2</v>
      </c>
      <c r="T9" s="29" t="inlineStr">
        <is>
          <t>x</t>
        </is>
      </c>
      <c r="U9" s="30" t="n">
        <v>4</v>
      </c>
      <c r="V9" s="30" t="n">
        <v>1</v>
      </c>
      <c r="W9" s="29" t="inlineStr">
        <is>
          <t>SYP #2</t>
        </is>
      </c>
      <c r="X9" s="24">
        <f>R9*V9</f>
        <v/>
      </c>
      <c r="Y9" s="84">
        <f>(R9*S9*U9*V9)/12</f>
        <v/>
      </c>
      <c r="Z9" s="62" t="n">
        <v>515</v>
      </c>
      <c r="AA9" s="7">
        <f>(Y9*Z9)/1000</f>
        <v/>
      </c>
      <c r="AB9" s="83">
        <f>AA9*1.06</f>
        <v/>
      </c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>
        <f>SUM(AD9:AP9)</f>
        <v/>
      </c>
      <c r="AW9" s="24">
        <f>AV9*V9</f>
        <v/>
      </c>
      <c r="AX9" s="24">
        <f>AV9*S9*U9*V9/12</f>
        <v/>
      </c>
      <c r="AY9" s="7">
        <f>AX9*Z9/1000</f>
        <v/>
      </c>
      <c r="AZ9" s="23">
        <f>AY9*1.06</f>
        <v/>
      </c>
      <c r="BA9" s="22">
        <f>IFERROR(AY9/AA9,0)</f>
        <v/>
      </c>
      <c r="BB9" s="24" t="n"/>
      <c r="BC9" s="24" t="n"/>
      <c r="BD9" s="24" t="n"/>
      <c r="BE9" s="24">
        <f>IF(BB9&lt;&gt;"",BB9*BD9,0)</f>
        <v/>
      </c>
      <c r="BF9" s="24">
        <f>AV9-BE9</f>
        <v/>
      </c>
      <c r="BG9" s="24">
        <f>BF9*V9</f>
        <v/>
      </c>
      <c r="BH9" s="24">
        <f>(BF9*S9*U9*V9)/12</f>
        <v/>
      </c>
      <c r="BI9" s="24">
        <f>IFERROR(BH9/AV9,0)</f>
        <v/>
      </c>
      <c r="BJ9" s="24">
        <f>IFERROR(BH9*Z9/1000,0)</f>
        <v/>
      </c>
      <c r="BK9" s="24">
        <f>BJ9*1.06</f>
        <v/>
      </c>
      <c r="BL9" s="24" t="n"/>
      <c r="BM9" s="24" t="n"/>
    </row>
    <row r="10" ht="11.65" customFormat="1" customHeight="1" s="12">
      <c r="A10" s="85" t="inlineStr">
        <is>
          <t>Lumber</t>
        </is>
      </c>
      <c r="B10" s="30" t="n">
        <v>478</v>
      </c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24" t="n"/>
      <c r="Q10" s="24">
        <f>SUM(C10:P10)</f>
        <v/>
      </c>
      <c r="R10" s="24">
        <f>SUM(B10:P10)</f>
        <v/>
      </c>
      <c r="S10" s="30" t="n">
        <v>2</v>
      </c>
      <c r="T10" s="29" t="inlineStr">
        <is>
          <t>x</t>
        </is>
      </c>
      <c r="U10" s="30" t="n">
        <v>4</v>
      </c>
      <c r="V10" s="30" t="n">
        <v>12</v>
      </c>
      <c r="W10" s="29" t="inlineStr">
        <is>
          <t>SYP #2</t>
        </is>
      </c>
      <c r="X10" s="24">
        <f>R10*V10</f>
        <v/>
      </c>
      <c r="Y10" s="84">
        <f>(R10*S10*U10*V10)/12</f>
        <v/>
      </c>
      <c r="Z10" s="62" t="n">
        <v>515</v>
      </c>
      <c r="AA10" s="7">
        <f>(Y10*Z10)/1000</f>
        <v/>
      </c>
      <c r="AB10" s="83">
        <f>AA10*1.06</f>
        <v/>
      </c>
      <c r="AC10" s="24" t="n">
        <v>60126031</v>
      </c>
      <c r="AD10" s="24" t="n"/>
      <c r="AE10" s="24" t="n"/>
      <c r="AF10" s="24" t="n"/>
      <c r="AG10" s="24" t="n"/>
      <c r="AH10" s="24" t="n"/>
      <c r="AI10" s="24" t="n"/>
      <c r="AJ10" s="24">
        <f>832</f>
        <v/>
      </c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>
        <f>SUM(AD10:AP10)</f>
        <v/>
      </c>
      <c r="AW10" s="24">
        <f>AV10*V10</f>
        <v/>
      </c>
      <c r="AX10" s="24">
        <f>AV10*S10*U10*V10/12</f>
        <v/>
      </c>
      <c r="AY10" s="7">
        <f>AX10*Z10/1000</f>
        <v/>
      </c>
      <c r="AZ10" s="23">
        <f>AY10*1.06</f>
        <v/>
      </c>
      <c r="BA10" s="22">
        <f>IFERROR(AY10/AA10,0)</f>
        <v/>
      </c>
      <c r="BB10" s="24" t="n"/>
      <c r="BC10" s="24" t="n"/>
      <c r="BD10" s="24" t="n"/>
      <c r="BE10" s="24">
        <f>IF(BB10&lt;&gt;"",BB10*BD10,0)</f>
        <v/>
      </c>
      <c r="BF10" s="24">
        <f>AV10-BE10</f>
        <v/>
      </c>
      <c r="BG10" s="24">
        <f>BF10*V10</f>
        <v/>
      </c>
      <c r="BH10" s="24">
        <f>(BF10*S10*U10*V10)/12</f>
        <v/>
      </c>
      <c r="BI10" s="24">
        <f>IFERROR(BH10/AV10,0)</f>
        <v/>
      </c>
      <c r="BJ10" s="24">
        <f>IFERROR(BH10*Z10/1000,0)</f>
        <v/>
      </c>
      <c r="BK10" s="24">
        <f>BJ10*1.06</f>
        <v/>
      </c>
      <c r="BL10" s="24" t="n"/>
      <c r="BM10" s="24" t="n"/>
    </row>
    <row r="11" ht="11.65" customFormat="1" customHeight="1" s="12">
      <c r="A11" s="85" t="inlineStr">
        <is>
          <t>Lumber</t>
        </is>
      </c>
      <c r="B11" s="30" t="n">
        <v>26</v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24" t="n"/>
      <c r="Q11" s="24">
        <f>SUM(C11:P11)</f>
        <v/>
      </c>
      <c r="R11" s="24">
        <f>SUM(B11:P11)</f>
        <v/>
      </c>
      <c r="S11" s="30" t="n">
        <v>2</v>
      </c>
      <c r="T11" s="29" t="inlineStr">
        <is>
          <t>x</t>
        </is>
      </c>
      <c r="U11" s="30" t="n">
        <v>4</v>
      </c>
      <c r="V11" s="30" t="n">
        <v>8</v>
      </c>
      <c r="W11" s="29" t="inlineStr">
        <is>
          <t>SYP #2</t>
        </is>
      </c>
      <c r="X11" s="24">
        <f>R11*V11</f>
        <v/>
      </c>
      <c r="Y11" s="84">
        <f>(R11*S11*U11*V11)/12</f>
        <v/>
      </c>
      <c r="Z11" s="62" t="n">
        <v>515</v>
      </c>
      <c r="AA11" s="7">
        <f>(Y11*Z11)/1000</f>
        <v/>
      </c>
      <c r="AB11" s="83">
        <f>AA11*1.06</f>
        <v/>
      </c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>
        <f>SUM(AD11:AP11)</f>
        <v/>
      </c>
      <c r="AW11" s="24">
        <f>AV11*V11</f>
        <v/>
      </c>
      <c r="AX11" s="24">
        <f>AV11*S11*U11*V11/12</f>
        <v/>
      </c>
      <c r="AY11" s="7">
        <f>AX11*Z11/1000</f>
        <v/>
      </c>
      <c r="AZ11" s="23">
        <f>AY11*1.06</f>
        <v/>
      </c>
      <c r="BA11" s="22">
        <f>IFERROR(AY11/AA11,0)</f>
        <v/>
      </c>
      <c r="BB11" s="24" t="n"/>
      <c r="BC11" s="24" t="n"/>
      <c r="BD11" s="24" t="n"/>
      <c r="BE11" s="24">
        <f>IF(BB11&lt;&gt;"",BB11*BD11,0)</f>
        <v/>
      </c>
      <c r="BF11" s="24">
        <f>AV11-BE11</f>
        <v/>
      </c>
      <c r="BG11" s="24">
        <f>BF11*V11</f>
        <v/>
      </c>
      <c r="BH11" s="24">
        <f>(BF11*S11*U11*V11)/12</f>
        <v/>
      </c>
      <c r="BI11" s="24">
        <f>IFERROR(BH11/AV11,0)</f>
        <v/>
      </c>
      <c r="BJ11" s="24">
        <f>IFERROR(BH11*Z11/1000,0)</f>
        <v/>
      </c>
      <c r="BK11" s="24">
        <f>BJ11*1.06</f>
        <v/>
      </c>
      <c r="BL11" s="24" t="n"/>
      <c r="BM11" s="24" t="n"/>
    </row>
    <row r="12" ht="11.65" customFormat="1" customHeight="1" s="12">
      <c r="A12" s="85" t="inlineStr">
        <is>
          <t>Lumber</t>
        </is>
      </c>
      <c r="B12" s="30" t="n">
        <v>353</v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24" t="n"/>
      <c r="Q12" s="24">
        <f>SUM(C12:P12)</f>
        <v/>
      </c>
      <c r="R12" s="24">
        <f>SUM(B12:P12)</f>
        <v/>
      </c>
      <c r="S12" s="30" t="n">
        <v>2</v>
      </c>
      <c r="T12" s="29" t="inlineStr">
        <is>
          <t>x</t>
        </is>
      </c>
      <c r="U12" s="30" t="n">
        <v>4</v>
      </c>
      <c r="V12" s="30" t="n">
        <v>12</v>
      </c>
      <c r="W12" s="29" t="inlineStr">
        <is>
          <t>SYP #2</t>
        </is>
      </c>
      <c r="X12" s="24">
        <f>R12*V12</f>
        <v/>
      </c>
      <c r="Y12" s="84">
        <f>(R12*S12*U12*V12)/12</f>
        <v/>
      </c>
      <c r="Z12" s="62" t="n">
        <v>515</v>
      </c>
      <c r="AA12" s="7">
        <f>(Y12*Z12)/1000</f>
        <v/>
      </c>
      <c r="AB12" s="83">
        <f>AA12*1.06</f>
        <v/>
      </c>
      <c r="AC12" s="24" t="n">
        <v>60126036</v>
      </c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>
        <f>208</f>
        <v/>
      </c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>
        <f>SUM(AD12:AP12)</f>
        <v/>
      </c>
      <c r="AW12" s="24">
        <f>AV12*V12</f>
        <v/>
      </c>
      <c r="AX12" s="24">
        <f>AV12*S12*U12*V12/12</f>
        <v/>
      </c>
      <c r="AY12" s="7">
        <f>AX12*Z12/1000</f>
        <v/>
      </c>
      <c r="AZ12" s="23">
        <f>AY12*1.06</f>
        <v/>
      </c>
      <c r="BA12" s="22">
        <f>IFERROR(AY12/AA12,0)</f>
        <v/>
      </c>
      <c r="BB12" s="24" t="n"/>
      <c r="BC12" s="24" t="n"/>
      <c r="BD12" s="24" t="n"/>
      <c r="BE12" s="24">
        <f>IF(BB12&lt;&gt;"",BB12*BD12,0)</f>
        <v/>
      </c>
      <c r="BF12" s="24">
        <f>AV12-BE12</f>
        <v/>
      </c>
      <c r="BG12" s="24">
        <f>BF12*V12</f>
        <v/>
      </c>
      <c r="BH12" s="24">
        <f>(BF12*S12*U12*V12)/12</f>
        <v/>
      </c>
      <c r="BI12" s="24">
        <f>IFERROR(BH12/AV12,0)</f>
        <v/>
      </c>
      <c r="BJ12" s="24">
        <f>IFERROR(BH12*Z12/1000,0)</f>
        <v/>
      </c>
      <c r="BK12" s="24">
        <f>BJ12*1.06</f>
        <v/>
      </c>
      <c r="BL12" s="24" t="n"/>
      <c r="BM12" s="24" t="n"/>
    </row>
    <row r="13" ht="11.65" customFormat="1" customHeight="1" s="12">
      <c r="A13" s="85" t="inlineStr">
        <is>
          <t>Lumber</t>
        </is>
      </c>
      <c r="B13" s="30" t="n">
        <v>158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24" t="n"/>
      <c r="Q13" s="24">
        <f>SUM(C13:P13)</f>
        <v/>
      </c>
      <c r="R13" s="24">
        <f>SUM(B13:P13)</f>
        <v/>
      </c>
      <c r="S13" s="30" t="n">
        <v>2</v>
      </c>
      <c r="T13" s="29" t="inlineStr">
        <is>
          <t>x</t>
        </is>
      </c>
      <c r="U13" s="30" t="n">
        <v>4</v>
      </c>
      <c r="V13" s="30" t="n">
        <v>14</v>
      </c>
      <c r="W13" s="29" t="inlineStr">
        <is>
          <t>SYP #2</t>
        </is>
      </c>
      <c r="X13" s="24">
        <f>R13*V13</f>
        <v/>
      </c>
      <c r="Y13" s="84">
        <f>(R13*S13*U13*V13)/12</f>
        <v/>
      </c>
      <c r="Z13" s="62" t="n">
        <v>515</v>
      </c>
      <c r="AA13" s="7">
        <f>(Y13*Z13)/1000</f>
        <v/>
      </c>
      <c r="AB13" s="83">
        <f>AA13*1.06</f>
        <v/>
      </c>
      <c r="AC13" s="24" t="inlineStr">
        <is>
          <t>60126028
60126038</t>
        </is>
      </c>
      <c r="AD13" s="24" t="n"/>
      <c r="AE13" s="24" t="n"/>
      <c r="AF13" s="24" t="n"/>
      <c r="AG13" s="24">
        <f>208</f>
        <v/>
      </c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>
        <v>208</v>
      </c>
      <c r="AQ13" s="24" t="n"/>
      <c r="AR13" s="24" t="n"/>
      <c r="AS13" s="24" t="n"/>
      <c r="AT13" s="24" t="n"/>
      <c r="AU13" s="24" t="n"/>
      <c r="AV13" s="24">
        <f>SUM(AD13:AP13)</f>
        <v/>
      </c>
      <c r="AW13" s="24">
        <f>AV13*V13</f>
        <v/>
      </c>
      <c r="AX13" s="86">
        <f>AV13*S13*U13*V13/12</f>
        <v/>
      </c>
      <c r="AY13" s="7">
        <f>AX13*Z13/1000</f>
        <v/>
      </c>
      <c r="AZ13" s="23">
        <f>AY13*1.06</f>
        <v/>
      </c>
      <c r="BA13" s="22">
        <f>IFERROR(AY13/AA13,0)</f>
        <v/>
      </c>
      <c r="BB13" s="24" t="n"/>
      <c r="BC13" s="24" t="n"/>
      <c r="BD13" s="24" t="n"/>
      <c r="BE13" s="24">
        <f>IF(BB13&lt;&gt;"",BB13*BD13,0)</f>
        <v/>
      </c>
      <c r="BF13" s="24">
        <f>AV13-BE13</f>
        <v/>
      </c>
      <c r="BG13" s="24">
        <f>BF13*V13</f>
        <v/>
      </c>
      <c r="BH13" s="24">
        <f>(BF13*S13*U13*V13)/12</f>
        <v/>
      </c>
      <c r="BI13" s="24">
        <f>IFERROR(BH13/AV13,0)</f>
        <v/>
      </c>
      <c r="BJ13" s="24">
        <f>IFERROR(BH13*Z13/1000,0)</f>
        <v/>
      </c>
      <c r="BK13" s="24">
        <f>BJ13*1.06</f>
        <v/>
      </c>
      <c r="BL13" s="24" t="n"/>
      <c r="BM13" s="24" t="n"/>
    </row>
    <row r="14" ht="11.65" customFormat="1" customHeight="1" s="12">
      <c r="A14" s="85" t="inlineStr">
        <is>
          <t>Lumber</t>
        </is>
      </c>
      <c r="B14" s="30" t="n">
        <v>21</v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24" t="n"/>
      <c r="Q14" s="24">
        <f>SUM(C14:P14)</f>
        <v/>
      </c>
      <c r="R14" s="24">
        <f>SUM(B14:P14)</f>
        <v/>
      </c>
      <c r="S14" s="30" t="n">
        <v>2</v>
      </c>
      <c r="T14" s="29" t="inlineStr">
        <is>
          <t>x</t>
        </is>
      </c>
      <c r="U14" s="30" t="n">
        <v>4</v>
      </c>
      <c r="V14" s="30" t="n">
        <v>16</v>
      </c>
      <c r="W14" s="29" t="inlineStr">
        <is>
          <t>SYP #2</t>
        </is>
      </c>
      <c r="X14" s="24">
        <f>R14*V14</f>
        <v/>
      </c>
      <c r="Y14" s="84">
        <f>(R14*S14*U14*V14)/12</f>
        <v/>
      </c>
      <c r="Z14" s="62" t="n">
        <v>515</v>
      </c>
      <c r="AA14" s="7">
        <f>(Y14*Z14)/1000</f>
        <v/>
      </c>
      <c r="AB14" s="83">
        <f>AA14*1.06</f>
        <v/>
      </c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>
        <f>SUM(AD14:AP14)</f>
        <v/>
      </c>
      <c r="AW14" s="24">
        <f>AV14*V14</f>
        <v/>
      </c>
      <c r="AX14" s="24">
        <f>AV14*S14*U14*V14/12</f>
        <v/>
      </c>
      <c r="AY14" s="7">
        <f>AX14*Z14/1000</f>
        <v/>
      </c>
      <c r="AZ14" s="23">
        <f>AY14*1.06</f>
        <v/>
      </c>
      <c r="BA14" s="22">
        <f>IFERROR(AY14/AA14,0)</f>
        <v/>
      </c>
      <c r="BB14" s="24" t="n"/>
      <c r="BC14" s="24" t="n"/>
      <c r="BD14" s="24" t="n"/>
      <c r="BE14" s="24">
        <f>IF(BB14&lt;&gt;"",BB14*BD14,0)</f>
        <v/>
      </c>
      <c r="BF14" s="24">
        <f>AV14-BE14</f>
        <v/>
      </c>
      <c r="BG14" s="24">
        <f>BF14*V14</f>
        <v/>
      </c>
      <c r="BH14" s="24">
        <f>(BF14*S14*U14*V14)/12</f>
        <v/>
      </c>
      <c r="BI14" s="24">
        <f>IFERROR(BH14/AV14,0)</f>
        <v/>
      </c>
      <c r="BJ14" s="24">
        <f>IFERROR(BH14*Z14/1000,0)</f>
        <v/>
      </c>
      <c r="BK14" s="24">
        <f>BJ14*1.06</f>
        <v/>
      </c>
      <c r="BL14" s="24" t="n"/>
      <c r="BM14" s="24" t="n"/>
    </row>
    <row r="15" ht="34.9" customFormat="1" customHeight="1" s="12">
      <c r="A15" s="85" t="inlineStr">
        <is>
          <t>Lumber</t>
        </is>
      </c>
      <c r="B15" s="30" t="n">
        <v>37494</v>
      </c>
      <c r="C15" s="30" t="n"/>
      <c r="D15" s="30" t="n"/>
      <c r="E15" s="30" t="n"/>
      <c r="F15" s="30" t="n"/>
      <c r="G15" s="30" t="n">
        <v>3748</v>
      </c>
      <c r="H15" s="30" t="n"/>
      <c r="I15" s="30" t="n"/>
      <c r="J15" s="30" t="n"/>
      <c r="K15" s="30" t="n"/>
      <c r="L15" s="30" t="n"/>
      <c r="M15" s="30" t="n"/>
      <c r="N15" s="30" t="n"/>
      <c r="O15" s="30" t="n"/>
      <c r="P15" s="24" t="n"/>
      <c r="Q15" s="24">
        <f>SUM(C15:P15)</f>
        <v/>
      </c>
      <c r="R15" s="24">
        <f>SUM(B15:P15)</f>
        <v/>
      </c>
      <c r="S15" s="30" t="n">
        <v>2</v>
      </c>
      <c r="T15" s="29" t="inlineStr">
        <is>
          <t>x</t>
        </is>
      </c>
      <c r="U15" s="30" t="n">
        <v>6</v>
      </c>
      <c r="V15" s="30" t="n">
        <v>1</v>
      </c>
      <c r="W15" s="29" t="inlineStr">
        <is>
          <t>SYP #2</t>
        </is>
      </c>
      <c r="X15" s="24">
        <f>R15*V15</f>
        <v/>
      </c>
      <c r="Y15" s="84">
        <f>(R15*S15*U15*V15)/12</f>
        <v/>
      </c>
      <c r="Z15" s="62" t="n">
        <v>435</v>
      </c>
      <c r="AA15" s="7">
        <f>(Y15*Z15)/1000</f>
        <v/>
      </c>
      <c r="AB15" s="83">
        <f>AA15*1.06</f>
        <v/>
      </c>
      <c r="AC15" s="53" t="inlineStr">
        <is>
          <t>60126005
60126018
60126032</t>
        </is>
      </c>
      <c r="AD15" s="24">
        <f>15*128*12</f>
        <v/>
      </c>
      <c r="AE15" s="24">
        <f>1792*12</f>
        <v/>
      </c>
      <c r="AF15" s="24" t="n"/>
      <c r="AG15" s="24" t="n"/>
      <c r="AH15" s="24" t="n"/>
      <c r="AI15" s="24" t="n"/>
      <c r="AJ15" s="24" t="n"/>
      <c r="AK15" s="24">
        <f>768</f>
        <v/>
      </c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>
        <f>SUM(AD15:AP15)</f>
        <v/>
      </c>
      <c r="AW15" s="24">
        <f>AV15*V15</f>
        <v/>
      </c>
      <c r="AX15" s="24">
        <f>AV15*S15*U15*V15/12</f>
        <v/>
      </c>
      <c r="AY15" s="7">
        <f>AX15*Z15/1000</f>
        <v/>
      </c>
      <c r="AZ15" s="23">
        <f>AY15*1.06</f>
        <v/>
      </c>
      <c r="BA15" s="22">
        <f>IFERROR(AY15/AA15,0)</f>
        <v/>
      </c>
      <c r="BB15" s="24" t="n"/>
      <c r="BC15" s="24" t="n"/>
      <c r="BD15" s="24" t="n"/>
      <c r="BE15" s="24">
        <f>IF(BB15&lt;&gt;"",BB15*BD15,0)</f>
        <v/>
      </c>
      <c r="BF15" s="24">
        <f>AV15-BE15</f>
        <v/>
      </c>
      <c r="BG15" s="24">
        <f>BF15*V15</f>
        <v/>
      </c>
      <c r="BH15" s="24">
        <f>(BF15*S15*U15*V15)/12</f>
        <v/>
      </c>
      <c r="BI15" s="24">
        <f>IFERROR(BH15/AV15,0)</f>
        <v/>
      </c>
      <c r="BJ15" s="24">
        <f>IFERROR(BH15*Z15/1000,0)</f>
        <v/>
      </c>
      <c r="BK15" s="24">
        <f>BJ15*1.06</f>
        <v/>
      </c>
      <c r="BL15" s="24" t="n"/>
      <c r="BM15" s="24" t="n"/>
    </row>
    <row r="16" ht="11.65" customFormat="1" customHeight="1" s="12">
      <c r="A16" s="85" t="inlineStr">
        <is>
          <t>Lumber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>
        <v>3584</v>
      </c>
      <c r="K16" s="30" t="n"/>
      <c r="L16" s="30" t="n"/>
      <c r="M16" s="30" t="n"/>
      <c r="N16" s="30" t="n"/>
      <c r="O16" s="30" t="n"/>
      <c r="P16" s="24" t="n"/>
      <c r="Q16" s="24">
        <f>SUM(C16:P16)</f>
        <v/>
      </c>
      <c r="R16" s="24">
        <f>SUM(B16:P16)</f>
        <v/>
      </c>
      <c r="S16" s="30" t="n">
        <v>2</v>
      </c>
      <c r="T16" s="29" t="inlineStr">
        <is>
          <t>x</t>
        </is>
      </c>
      <c r="U16" s="30" t="n">
        <v>6</v>
      </c>
      <c r="V16" s="30" t="n">
        <v>1</v>
      </c>
      <c r="W16" s="29" t="inlineStr">
        <is>
          <t>SYP #2</t>
        </is>
      </c>
      <c r="X16" s="24">
        <f>R16*V16</f>
        <v/>
      </c>
      <c r="Y16" s="84">
        <f>(R16*S16*U16*V16)/12</f>
        <v/>
      </c>
      <c r="Z16" s="62" t="n">
        <v>495</v>
      </c>
      <c r="AA16" s="7">
        <f>(Y16*Z16)/1000</f>
        <v/>
      </c>
      <c r="AB16" s="83">
        <f>AA16*1.06</f>
        <v/>
      </c>
      <c r="AC16" s="24" t="n">
        <v>60126036</v>
      </c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>
        <f>256*14</f>
        <v/>
      </c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>
        <f>SUM(AD16:AP16)</f>
        <v/>
      </c>
      <c r="AW16" s="24">
        <f>AV16*V16</f>
        <v/>
      </c>
      <c r="AX16" s="24">
        <f>AV16*S16*U16*V16/12</f>
        <v/>
      </c>
      <c r="AY16" s="7">
        <f>AX16*Z16/1000</f>
        <v/>
      </c>
      <c r="AZ16" s="23">
        <f>AY16*1.06</f>
        <v/>
      </c>
      <c r="BA16" s="22">
        <f>IFERROR(AY16/AA16,0)</f>
        <v/>
      </c>
      <c r="BB16" s="24" t="n"/>
      <c r="BC16" s="24" t="n"/>
      <c r="BD16" s="24" t="n"/>
      <c r="BE16" s="24">
        <f>IF(BB16&lt;&gt;"",BB16*BD16,0)</f>
        <v/>
      </c>
      <c r="BF16" s="24">
        <f>AV16-BE16</f>
        <v/>
      </c>
      <c r="BG16" s="24">
        <f>BF16*V16</f>
        <v/>
      </c>
      <c r="BH16" s="24">
        <f>(BF16*S16*U16*V16)/12</f>
        <v/>
      </c>
      <c r="BI16" s="24">
        <f>IFERROR(BH16/AV16,0)</f>
        <v/>
      </c>
      <c r="BJ16" s="24">
        <f>IFERROR(BH16*Z16/1000,0)</f>
        <v/>
      </c>
      <c r="BK16" s="24">
        <f>BJ16*1.06</f>
        <v/>
      </c>
      <c r="BL16" s="24" t="n"/>
      <c r="BM16" s="24" t="n"/>
    </row>
    <row r="17" ht="11.65" customFormat="1" customHeight="1" s="12">
      <c r="A17" s="85" t="inlineStr">
        <is>
          <t>Lumber</t>
        </is>
      </c>
      <c r="B17" s="30" t="n">
        <v>94</v>
      </c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24" t="n"/>
      <c r="Q17" s="24">
        <f>SUM(C17:P17)</f>
        <v/>
      </c>
      <c r="R17" s="24">
        <f>SUM(B17:P17)</f>
        <v/>
      </c>
      <c r="S17" s="30" t="n">
        <v>2</v>
      </c>
      <c r="T17" s="29" t="inlineStr">
        <is>
          <t>x</t>
        </is>
      </c>
      <c r="U17" s="30" t="n">
        <v>6</v>
      </c>
      <c r="V17" s="30" t="n">
        <v>12</v>
      </c>
      <c r="W17" s="29" t="inlineStr">
        <is>
          <t>SYP #2</t>
        </is>
      </c>
      <c r="X17" s="24">
        <f>R17*V17</f>
        <v/>
      </c>
      <c r="Y17" s="84">
        <f>(R17*S17*U17*V17)/12</f>
        <v/>
      </c>
      <c r="Z17" s="62" t="n">
        <v>435</v>
      </c>
      <c r="AA17" s="7">
        <f>(Y17*Z17)/1000</f>
        <v/>
      </c>
      <c r="AB17" s="83">
        <f>AA17*1.06</f>
        <v/>
      </c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>
        <f>SUM(AD17:AP17)</f>
        <v/>
      </c>
      <c r="AW17" s="24">
        <f>AV17*V17</f>
        <v/>
      </c>
      <c r="AX17" s="24">
        <f>AV17*S17*U17*V17/12</f>
        <v/>
      </c>
      <c r="AY17" s="7">
        <f>AX17*Z17/1000</f>
        <v/>
      </c>
      <c r="AZ17" s="23">
        <f>AY17*1.06</f>
        <v/>
      </c>
      <c r="BA17" s="22">
        <f>IFERROR(AY17/AA17,0)</f>
        <v/>
      </c>
      <c r="BB17" s="24" t="n"/>
      <c r="BC17" s="24" t="n"/>
      <c r="BD17" s="24" t="n"/>
      <c r="BE17" s="24">
        <f>IF(BB17&lt;&gt;"",BB17*BD17,0)</f>
        <v/>
      </c>
      <c r="BF17" s="24">
        <f>AV17-BE17</f>
        <v/>
      </c>
      <c r="BG17" s="24">
        <f>BF17*V17</f>
        <v/>
      </c>
      <c r="BH17" s="24">
        <f>(BF17*S17*U17*V17)/12</f>
        <v/>
      </c>
      <c r="BI17" s="24">
        <f>IFERROR(BH17/AV17,0)</f>
        <v/>
      </c>
      <c r="BJ17" s="24">
        <f>IFERROR(BH17*Z17/1000,0)</f>
        <v/>
      </c>
      <c r="BK17" s="24">
        <f>BJ17*1.06</f>
        <v/>
      </c>
      <c r="BL17" s="24" t="n"/>
      <c r="BM17" s="24" t="n"/>
    </row>
    <row r="18" ht="11.65" customFormat="1" customHeight="1" s="12">
      <c r="A18" s="85" t="inlineStr">
        <is>
          <t>Lumber</t>
        </is>
      </c>
      <c r="B18" s="30" t="n">
        <v>717</v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24" t="n"/>
      <c r="Q18" s="24">
        <f>SUM(C18:P18)</f>
        <v/>
      </c>
      <c r="R18" s="24">
        <f>SUM(B18:P18)</f>
        <v/>
      </c>
      <c r="S18" s="30" t="n">
        <v>2</v>
      </c>
      <c r="T18" s="29" t="inlineStr">
        <is>
          <t>x</t>
        </is>
      </c>
      <c r="U18" s="30" t="n">
        <v>6</v>
      </c>
      <c r="V18" s="30" t="n">
        <v>12</v>
      </c>
      <c r="W18" s="29" t="inlineStr">
        <is>
          <t>SYP #2</t>
        </is>
      </c>
      <c r="X18" s="24">
        <f>R18*V18</f>
        <v/>
      </c>
      <c r="Y18" s="84">
        <f>(R18*S18*U18*V18)/12</f>
        <v/>
      </c>
      <c r="Z18" s="62" t="n">
        <v>435</v>
      </c>
      <c r="AA18" s="7">
        <f>(Y18*Z18)/1000</f>
        <v/>
      </c>
      <c r="AB18" s="83">
        <f>AA18*1.06</f>
        <v/>
      </c>
      <c r="AC18" s="24" t="n">
        <v>60126002</v>
      </c>
      <c r="AD18" s="24">
        <f>256</f>
        <v/>
      </c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>
        <f>SUM(AD18:AP18)</f>
        <v/>
      </c>
      <c r="AW18" s="24">
        <f>AV18*V18</f>
        <v/>
      </c>
      <c r="AX18" s="24">
        <f>AV18*S18*U18*V18/12</f>
        <v/>
      </c>
      <c r="AY18" s="7">
        <f>AX18*Z18/1000</f>
        <v/>
      </c>
      <c r="AZ18" s="23">
        <f>AY18*1.06</f>
        <v/>
      </c>
      <c r="BA18" s="22">
        <f>IFERROR(AY18/AA18,0)</f>
        <v/>
      </c>
      <c r="BB18" s="24" t="n"/>
      <c r="BC18" s="24" t="n"/>
      <c r="BD18" s="24" t="n">
        <v>256</v>
      </c>
      <c r="BE18" s="24">
        <f>IF(BB18&lt;&gt;"",BB18*BD18,0)</f>
        <v/>
      </c>
      <c r="BF18" s="24">
        <f>AV18-BE18</f>
        <v/>
      </c>
      <c r="BG18" s="24">
        <f>BF18*V18</f>
        <v/>
      </c>
      <c r="BH18" s="24">
        <f>(BF18*S18*U18*V18)/12</f>
        <v/>
      </c>
      <c r="BI18" s="24">
        <f>IFERROR(BH18/AV18,0)</f>
        <v/>
      </c>
      <c r="BJ18" s="24">
        <f>IFERROR(BH18*Z18/1000,0)</f>
        <v/>
      </c>
      <c r="BK18" s="24">
        <f>BJ18*1.06</f>
        <v/>
      </c>
      <c r="BL18" s="24" t="n"/>
      <c r="BM18" s="24" t="n"/>
    </row>
    <row r="19" ht="11.65" customFormat="1" customHeight="1" s="12">
      <c r="A19" s="85" t="inlineStr">
        <is>
          <t>Lumber</t>
        </is>
      </c>
      <c r="B19" s="30" t="n">
        <v>231</v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24" t="n"/>
      <c r="Q19" s="24">
        <f>SUM(C19:P19)</f>
        <v/>
      </c>
      <c r="R19" s="24">
        <f>SUM(B19:P19)</f>
        <v/>
      </c>
      <c r="S19" s="30" t="n">
        <v>2</v>
      </c>
      <c r="T19" s="29" t="inlineStr">
        <is>
          <t>x</t>
        </is>
      </c>
      <c r="U19" s="30" t="n">
        <v>6</v>
      </c>
      <c r="V19" s="30" t="n">
        <v>14</v>
      </c>
      <c r="W19" s="29" t="inlineStr">
        <is>
          <t>SYP #2</t>
        </is>
      </c>
      <c r="X19" s="24">
        <f>R19*V19</f>
        <v/>
      </c>
      <c r="Y19" s="84">
        <f>(R19*S19*U19*V19)/12</f>
        <v/>
      </c>
      <c r="Z19" s="62" t="n">
        <v>435</v>
      </c>
      <c r="AA19" s="7">
        <f>(Y19*Z19)/1000</f>
        <v/>
      </c>
      <c r="AB19" s="83">
        <f>AA19*1.06</f>
        <v/>
      </c>
      <c r="AC19" s="24" t="n">
        <v>60126028</v>
      </c>
      <c r="AD19" s="24" t="n"/>
      <c r="AE19" s="24" t="n"/>
      <c r="AF19" s="24" t="n"/>
      <c r="AG19" s="24" t="n">
        <v>128</v>
      </c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>
        <f>SUM(AD19:AP19)</f>
        <v/>
      </c>
      <c r="AW19" s="24">
        <f>AV19*V19</f>
        <v/>
      </c>
      <c r="AX19" s="24">
        <f>AV19*S19*U19*V19/12</f>
        <v/>
      </c>
      <c r="AY19" s="7">
        <f>AX19*Z19/1000</f>
        <v/>
      </c>
      <c r="AZ19" s="23">
        <f>AY19*1.06</f>
        <v/>
      </c>
      <c r="BA19" s="22">
        <f>IFERROR(AY19/AA19,0)</f>
        <v/>
      </c>
      <c r="BB19" s="24" t="n"/>
      <c r="BC19" s="24" t="n"/>
      <c r="BD19" s="24" t="n"/>
      <c r="BE19" s="24">
        <f>IF(BB19&lt;&gt;"",BB19*BD19,0)</f>
        <v/>
      </c>
      <c r="BF19" s="24">
        <f>AV19-BE19</f>
        <v/>
      </c>
      <c r="BG19" s="24">
        <f>BF19*V19</f>
        <v/>
      </c>
      <c r="BH19" s="24">
        <f>(BF19*S19*U19*V19)/12</f>
        <v/>
      </c>
      <c r="BI19" s="24">
        <f>IFERROR(BH19/AV19,0)</f>
        <v/>
      </c>
      <c r="BJ19" s="24">
        <f>IFERROR(BH19*Z19/1000,0)</f>
        <v/>
      </c>
      <c r="BK19" s="24">
        <f>BJ19*1.06</f>
        <v/>
      </c>
      <c r="BL19" s="24" t="n"/>
      <c r="BM19" s="24" t="n"/>
    </row>
    <row r="20" ht="11.65" customFormat="1" customHeight="1" s="12">
      <c r="A20" s="85" t="inlineStr">
        <is>
          <t>Lumber</t>
        </is>
      </c>
      <c r="B20" s="30" t="n">
        <v>404</v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24" t="n"/>
      <c r="Q20" s="24">
        <f>SUM(C20:P20)</f>
        <v/>
      </c>
      <c r="R20" s="24">
        <f>SUM(B20:P20)</f>
        <v/>
      </c>
      <c r="S20" s="30" t="n">
        <v>2</v>
      </c>
      <c r="T20" s="29" t="inlineStr">
        <is>
          <t>x</t>
        </is>
      </c>
      <c r="U20" s="30" t="n">
        <v>6</v>
      </c>
      <c r="V20" s="30" t="n">
        <v>16</v>
      </c>
      <c r="W20" s="29" t="inlineStr">
        <is>
          <t>SYP #2</t>
        </is>
      </c>
      <c r="X20" s="24">
        <f>R20*V20</f>
        <v/>
      </c>
      <c r="Y20" s="84">
        <f>(R20*S20*U20*V20)/12</f>
        <v/>
      </c>
      <c r="Z20" s="62" t="n">
        <v>435</v>
      </c>
      <c r="AA20" s="7">
        <f>(Y20*Z20)/1000</f>
        <v/>
      </c>
      <c r="AB20" s="83">
        <f>AA20*1.06</f>
        <v/>
      </c>
      <c r="AC20" s="24" t="n">
        <v>60126028</v>
      </c>
      <c r="AD20" s="24" t="n"/>
      <c r="AE20" s="24" t="n"/>
      <c r="AF20" s="24" t="n"/>
      <c r="AG20" s="24" t="n">
        <v>128</v>
      </c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>
        <f>SUM(AD20:AP20)</f>
        <v/>
      </c>
      <c r="AW20" s="24">
        <f>AV20*V20</f>
        <v/>
      </c>
      <c r="AX20" s="24">
        <f>AV20*S20*U20*V20/12</f>
        <v/>
      </c>
      <c r="AY20" s="7">
        <f>AX20*Z20/1000</f>
        <v/>
      </c>
      <c r="AZ20" s="23">
        <f>AY20*1.06</f>
        <v/>
      </c>
      <c r="BA20" s="22">
        <f>IFERROR(AY20/AA20,0)</f>
        <v/>
      </c>
      <c r="BB20" s="24" t="n"/>
      <c r="BC20" s="24" t="n"/>
      <c r="BD20" s="24" t="n"/>
      <c r="BE20" s="24">
        <f>IF(BB20&lt;&gt;"",BB20*BD20,0)</f>
        <v/>
      </c>
      <c r="BF20" s="24">
        <f>AV20-BE20</f>
        <v/>
      </c>
      <c r="BG20" s="24">
        <f>BF20*V20</f>
        <v/>
      </c>
      <c r="BH20" s="24">
        <f>(BF20*S20*U20*V20)/12</f>
        <v/>
      </c>
      <c r="BI20" s="24">
        <f>IFERROR(BH20/AV20,0)</f>
        <v/>
      </c>
      <c r="BJ20" s="24">
        <f>IFERROR(BH20*Z20/1000,0)</f>
        <v/>
      </c>
      <c r="BK20" s="24">
        <f>BJ20*1.06</f>
        <v/>
      </c>
      <c r="BL20" s="24" t="n"/>
      <c r="BM20" s="24" t="n"/>
    </row>
    <row r="21" ht="23.25" customFormat="1" customHeight="1" s="12">
      <c r="A21" s="85" t="inlineStr">
        <is>
          <t>Lumber</t>
        </is>
      </c>
      <c r="B21" s="30" t="n">
        <v>9078</v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24" t="n"/>
      <c r="Q21" s="24">
        <f>SUM(C21:P21)</f>
        <v/>
      </c>
      <c r="R21" s="24">
        <f>SUM(B21:P21)</f>
        <v/>
      </c>
      <c r="S21" s="30" t="n">
        <v>2</v>
      </c>
      <c r="T21" s="29" t="inlineStr">
        <is>
          <t>x</t>
        </is>
      </c>
      <c r="U21" s="30" t="n">
        <v>8</v>
      </c>
      <c r="V21" s="30" t="n">
        <v>1</v>
      </c>
      <c r="W21" s="29" t="inlineStr">
        <is>
          <t>SYP #2</t>
        </is>
      </c>
      <c r="X21" s="24">
        <f>R21*V21</f>
        <v/>
      </c>
      <c r="Y21" s="84">
        <f>(R21*S21*U21*V21)/12</f>
        <v/>
      </c>
      <c r="Z21" s="62" t="n">
        <v>485</v>
      </c>
      <c r="AA21" s="7">
        <f>(Y21*Z21)/1000</f>
        <v/>
      </c>
      <c r="AB21" s="83">
        <f>AA21*1.06</f>
        <v/>
      </c>
      <c r="AC21" s="53" t="inlineStr">
        <is>
          <t>60126002
60126022</t>
        </is>
      </c>
      <c r="AD21" s="24">
        <f>192*14+192*16+288*12</f>
        <v/>
      </c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>
        <f>SUM(AD21:AP21)</f>
        <v/>
      </c>
      <c r="AW21" s="24">
        <f>AV21*V21</f>
        <v/>
      </c>
      <c r="AX21" s="24">
        <f>AV21*S21*U21*V21/12</f>
        <v/>
      </c>
      <c r="AY21" s="7">
        <f>AX21*Z21/1000</f>
        <v/>
      </c>
      <c r="AZ21" s="23">
        <f>AY21*1.06</f>
        <v/>
      </c>
      <c r="BA21" s="22">
        <f>IFERROR(AY21/AA21,0)</f>
        <v/>
      </c>
      <c r="BB21" s="24" t="n"/>
      <c r="BC21" s="24" t="n"/>
      <c r="BD21" s="24" t="n">
        <v>192</v>
      </c>
      <c r="BE21" s="24">
        <f>IF(BB21&lt;&gt;"",BB21*BD21,0)</f>
        <v/>
      </c>
      <c r="BF21" s="24">
        <f>AV21-BE21</f>
        <v/>
      </c>
      <c r="BG21" s="24">
        <f>BF21*V21</f>
        <v/>
      </c>
      <c r="BH21" s="24">
        <f>(BF21*S21*U21*V21)/12</f>
        <v/>
      </c>
      <c r="BI21" s="24">
        <f>IFERROR(BH21/AV21,0)</f>
        <v/>
      </c>
      <c r="BJ21" s="24">
        <f>IFERROR(BH21*Z21/1000,0)</f>
        <v/>
      </c>
      <c r="BK21" s="24">
        <f>BJ21*1.06</f>
        <v/>
      </c>
      <c r="BL21" s="24" t="n"/>
      <c r="BM21" s="24" t="n"/>
    </row>
    <row r="22" ht="11.65" customFormat="1" customHeight="1" s="12">
      <c r="A22" s="85" t="inlineStr">
        <is>
          <t>Lumber</t>
        </is>
      </c>
      <c r="B22" s="30" t="n">
        <v>6122</v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24" t="n"/>
      <c r="Q22" s="24">
        <f>SUM(C22:P22)</f>
        <v/>
      </c>
      <c r="R22" s="24">
        <f>SUM(B22:P22)</f>
        <v/>
      </c>
      <c r="S22" s="30" t="n">
        <v>2</v>
      </c>
      <c r="T22" s="29" t="inlineStr">
        <is>
          <t>x</t>
        </is>
      </c>
      <c r="U22" s="30" t="n">
        <v>10</v>
      </c>
      <c r="V22" s="30" t="n">
        <v>1</v>
      </c>
      <c r="W22" s="29" t="inlineStr">
        <is>
          <t>SYP #2</t>
        </is>
      </c>
      <c r="X22" s="24">
        <f>R22*V22</f>
        <v/>
      </c>
      <c r="Y22" s="84">
        <f>(R22*S22*U22*V22)/12</f>
        <v/>
      </c>
      <c r="Z22" s="62" t="n">
        <v>485</v>
      </c>
      <c r="AA22" s="7">
        <f>(Y22*Z22)/1000</f>
        <v/>
      </c>
      <c r="AB22" s="83">
        <f>AA22*1.06</f>
        <v/>
      </c>
      <c r="AC22" s="24" t="n">
        <v>60126022</v>
      </c>
      <c r="AD22" s="24">
        <f>320*12</f>
        <v/>
      </c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>
        <f>SUM(AD22:AP22)</f>
        <v/>
      </c>
      <c r="AW22" s="24">
        <f>AV22*V22</f>
        <v/>
      </c>
      <c r="AX22" s="24">
        <f>AV22*S22*U22*V22/12</f>
        <v/>
      </c>
      <c r="AY22" s="7">
        <f>AX22*Z22/1000</f>
        <v/>
      </c>
      <c r="AZ22" s="23">
        <f>AY22*1.06</f>
        <v/>
      </c>
      <c r="BA22" s="22">
        <f>IFERROR(AY22/AA22,0)</f>
        <v/>
      </c>
      <c r="BB22" s="24" t="n"/>
      <c r="BC22" s="24" t="n"/>
      <c r="BD22" s="24" t="n"/>
      <c r="BE22" s="24">
        <f>IF(BB22&lt;&gt;"",BB22*BD22,0)</f>
        <v/>
      </c>
      <c r="BF22" s="24">
        <f>AV22-BE22</f>
        <v/>
      </c>
      <c r="BG22" s="24">
        <f>BF22*V22</f>
        <v/>
      </c>
      <c r="BH22" s="24">
        <f>(BF22*S22*U22*V22)/12</f>
        <v/>
      </c>
      <c r="BI22" s="24">
        <f>IFERROR(BH22/AV22,0)</f>
        <v/>
      </c>
      <c r="BJ22" s="24">
        <f>IFERROR(BH22*Z22/1000,0)</f>
        <v/>
      </c>
      <c r="BK22" s="24">
        <f>BJ22*1.06</f>
        <v/>
      </c>
      <c r="BL22" s="24" t="n"/>
      <c r="BM22" s="24" t="n"/>
    </row>
    <row r="23" ht="11.65" customFormat="1" customHeight="1" s="12">
      <c r="A23" s="85" t="inlineStr">
        <is>
          <t>Lumber</t>
        </is>
      </c>
      <c r="B23" s="30" t="n">
        <v>161</v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24" t="n"/>
      <c r="Q23" s="24">
        <f>SUM(C23:P23)</f>
        <v/>
      </c>
      <c r="R23" s="24">
        <f>SUM(B23:P23)</f>
        <v/>
      </c>
      <c r="S23" s="30" t="n">
        <v>2</v>
      </c>
      <c r="T23" s="29" t="inlineStr">
        <is>
          <t>x</t>
        </is>
      </c>
      <c r="U23" s="30" t="n">
        <v>10</v>
      </c>
      <c r="V23" s="30" t="n">
        <v>10</v>
      </c>
      <c r="W23" s="29" t="inlineStr">
        <is>
          <t>SYP #2</t>
        </is>
      </c>
      <c r="X23" s="24">
        <f>R23*V23</f>
        <v/>
      </c>
      <c r="Y23" s="84">
        <f>(R23*S23*U23*V23)/12</f>
        <v/>
      </c>
      <c r="Z23" s="62" t="n">
        <v>485</v>
      </c>
      <c r="AA23" s="7">
        <f>(Y23*Z23)/1000</f>
        <v/>
      </c>
      <c r="AB23" s="83">
        <f>AA23*1.06</f>
        <v/>
      </c>
      <c r="AC23" s="24" t="n">
        <v>60126002</v>
      </c>
      <c r="AD23" s="24">
        <f>160</f>
        <v/>
      </c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>
        <f>SUM(AD23:AP23)</f>
        <v/>
      </c>
      <c r="AW23" s="24">
        <f>AV23*V23</f>
        <v/>
      </c>
      <c r="AX23" s="86">
        <f>AV23*S23*U23*V23/12</f>
        <v/>
      </c>
      <c r="AY23" s="7">
        <f>AX23*Z23/1000</f>
        <v/>
      </c>
      <c r="AZ23" s="23">
        <f>AY23*1.06</f>
        <v/>
      </c>
      <c r="BA23" s="22">
        <f>IFERROR(AY23/AA23,0)</f>
        <v/>
      </c>
      <c r="BB23" s="24" t="n"/>
      <c r="BC23" s="24" t="n"/>
      <c r="BD23" s="24" t="n"/>
      <c r="BE23" s="24">
        <f>IF(BB23&lt;&gt;"",BB23*BD23,0)</f>
        <v/>
      </c>
      <c r="BF23" s="24">
        <f>AV23-BE23</f>
        <v/>
      </c>
      <c r="BG23" s="24">
        <f>BF23*V23</f>
        <v/>
      </c>
      <c r="BH23" s="24">
        <f>(BF23*S23*U23*V23)/12</f>
        <v/>
      </c>
      <c r="BI23" s="24">
        <f>IFERROR(BH23/AV23,0)</f>
        <v/>
      </c>
      <c r="BJ23" s="24">
        <f>IFERROR(BH23*Z23/1000,0)</f>
        <v/>
      </c>
      <c r="BK23" s="24">
        <f>BJ23*1.06</f>
        <v/>
      </c>
      <c r="BL23" s="24" t="n"/>
      <c r="BM23" s="24" t="n"/>
    </row>
    <row r="24" ht="11.65" customFormat="1" customHeight="1" s="12">
      <c r="A24" s="85" t="inlineStr">
        <is>
          <t>Lumber</t>
        </is>
      </c>
      <c r="B24" s="30" t="n">
        <v>128</v>
      </c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24" t="n"/>
      <c r="Q24" s="24">
        <f>SUM(C24:P24)</f>
        <v/>
      </c>
      <c r="R24" s="24">
        <f>SUM(B24:P24)</f>
        <v/>
      </c>
      <c r="S24" s="30" t="n">
        <v>2</v>
      </c>
      <c r="T24" s="29" t="inlineStr">
        <is>
          <t>x</t>
        </is>
      </c>
      <c r="U24" s="30" t="n">
        <v>10</v>
      </c>
      <c r="V24" s="30" t="n">
        <v>12</v>
      </c>
      <c r="W24" s="29" t="inlineStr">
        <is>
          <t>SYP #2</t>
        </is>
      </c>
      <c r="X24" s="24">
        <f>R24*V24</f>
        <v/>
      </c>
      <c r="Y24" s="84">
        <f>(R24*S24*U24*V24)/12</f>
        <v/>
      </c>
      <c r="Z24" s="62" t="n">
        <v>485</v>
      </c>
      <c r="AA24" s="7">
        <f>(Y24*Z24)/1000</f>
        <v/>
      </c>
      <c r="AB24" s="83">
        <f>AA24*1.06</f>
        <v/>
      </c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>
        <f>SUM(AD24:AP24)</f>
        <v/>
      </c>
      <c r="AW24" s="24">
        <f>AV24*V24</f>
        <v/>
      </c>
      <c r="AX24" s="24">
        <f>AV24*S24*U24*V24/12</f>
        <v/>
      </c>
      <c r="AY24" s="7">
        <f>AX24*Z24/1000</f>
        <v/>
      </c>
      <c r="AZ24" s="23">
        <f>AY24*1.06</f>
        <v/>
      </c>
      <c r="BA24" s="22">
        <f>IFERROR(AY24/AA24,0)</f>
        <v/>
      </c>
      <c r="BB24" s="24" t="n"/>
      <c r="BC24" s="24" t="n"/>
      <c r="BD24" s="24" t="n"/>
      <c r="BE24" s="24">
        <f>IF(BB24&lt;&gt;"",BB24*BD24,0)</f>
        <v/>
      </c>
      <c r="BF24" s="24">
        <f>AV24-BE24</f>
        <v/>
      </c>
      <c r="BG24" s="24">
        <f>BF24*V24</f>
        <v/>
      </c>
      <c r="BH24" s="24">
        <f>(BF24*S24*U24*V24)/12</f>
        <v/>
      </c>
      <c r="BI24" s="24">
        <f>IFERROR(BH24/AV24,0)</f>
        <v/>
      </c>
      <c r="BJ24" s="24">
        <f>IFERROR(BH24*Z24/1000,0)</f>
        <v/>
      </c>
      <c r="BK24" s="24">
        <f>BJ24*1.06</f>
        <v/>
      </c>
      <c r="BL24" s="24" t="n"/>
      <c r="BM24" s="24" t="n"/>
    </row>
    <row r="25" ht="11.65" customFormat="1" customHeight="1" s="12">
      <c r="A25" s="85" t="inlineStr">
        <is>
          <t>Lumber</t>
        </is>
      </c>
      <c r="B25" s="30" t="n">
        <v>47</v>
      </c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24" t="n"/>
      <c r="Q25" s="24">
        <f>SUM(C25:P25)</f>
        <v/>
      </c>
      <c r="R25" s="24">
        <f>SUM(B25:P25)</f>
        <v/>
      </c>
      <c r="S25" s="30" t="n">
        <v>2</v>
      </c>
      <c r="T25" s="29" t="inlineStr">
        <is>
          <t>x</t>
        </is>
      </c>
      <c r="U25" s="30" t="n">
        <v>10</v>
      </c>
      <c r="V25" s="30" t="n">
        <v>10</v>
      </c>
      <c r="W25" s="29" t="inlineStr">
        <is>
          <t>SYP #2</t>
        </is>
      </c>
      <c r="X25" s="24">
        <f>R25*V25</f>
        <v/>
      </c>
      <c r="Y25" s="84">
        <f>(R25*S25*U25*V25)/12</f>
        <v/>
      </c>
      <c r="Z25" s="62" t="n">
        <v>485</v>
      </c>
      <c r="AA25" s="7">
        <f>(Y25*Z25)/1000</f>
        <v/>
      </c>
      <c r="AB25" s="83">
        <f>AA25*1.06</f>
        <v/>
      </c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>
        <f>SUM(AD25:AP25)</f>
        <v/>
      </c>
      <c r="AW25" s="24">
        <f>AV25*V25</f>
        <v/>
      </c>
      <c r="AX25" s="24">
        <f>AV25*S25*U25*V25/12</f>
        <v/>
      </c>
      <c r="AY25" s="7">
        <f>AX25*Z25/1000</f>
        <v/>
      </c>
      <c r="AZ25" s="23">
        <f>AY25*1.06</f>
        <v/>
      </c>
      <c r="BA25" s="22">
        <f>IFERROR(AY25/AA25,0)</f>
        <v/>
      </c>
      <c r="BB25" s="24" t="n"/>
      <c r="BC25" s="24" t="n"/>
      <c r="BD25" s="24" t="n"/>
      <c r="BE25" s="24">
        <f>IF(BB25&lt;&gt;"",BB25*BD25,0)</f>
        <v/>
      </c>
      <c r="BF25" s="24">
        <f>AV25-BE25</f>
        <v/>
      </c>
      <c r="BG25" s="24">
        <f>BF25*V25</f>
        <v/>
      </c>
      <c r="BH25" s="24">
        <f>(BF25*S25*U25*V25)/12</f>
        <v/>
      </c>
      <c r="BI25" s="24">
        <f>IFERROR(BH25/AV25,0)</f>
        <v/>
      </c>
      <c r="BJ25" s="24">
        <f>IFERROR(BH25*Z25/1000,0)</f>
        <v/>
      </c>
      <c r="BK25" s="24">
        <f>BJ25*1.06</f>
        <v/>
      </c>
      <c r="BL25" s="24" t="n"/>
      <c r="BM25" s="24" t="n"/>
    </row>
    <row r="26" ht="11.65" customFormat="1" customHeight="1" s="12">
      <c r="A26" s="85" t="inlineStr">
        <is>
          <t>Lumber</t>
        </is>
      </c>
      <c r="B26" s="30" t="n">
        <v>60</v>
      </c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24" t="n"/>
      <c r="Q26" s="24">
        <f>SUM(C26:P26)</f>
        <v/>
      </c>
      <c r="R26" s="24">
        <f>SUM(B26:P26)</f>
        <v/>
      </c>
      <c r="S26" s="30" t="n">
        <v>2</v>
      </c>
      <c r="T26" s="29" t="inlineStr">
        <is>
          <t>x</t>
        </is>
      </c>
      <c r="U26" s="30" t="n">
        <v>10</v>
      </c>
      <c r="V26" s="30" t="n">
        <v>12</v>
      </c>
      <c r="W26" s="29" t="inlineStr">
        <is>
          <t>SYP #2</t>
        </is>
      </c>
      <c r="X26" s="24">
        <f>R26*V26</f>
        <v/>
      </c>
      <c r="Y26" s="84">
        <f>(R26*S26*U26*V26)/12</f>
        <v/>
      </c>
      <c r="Z26" s="62" t="n">
        <v>485</v>
      </c>
      <c r="AA26" s="7">
        <f>(Y26*Z26)/1000</f>
        <v/>
      </c>
      <c r="AB26" s="83">
        <f>AA26*1.06</f>
        <v/>
      </c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>
        <f>SUM(AD26:AP26)</f>
        <v/>
      </c>
      <c r="AW26" s="24">
        <f>AV26*V26</f>
        <v/>
      </c>
      <c r="AX26" s="24">
        <f>AV26*S26*U26*V26/12</f>
        <v/>
      </c>
      <c r="AY26" s="7">
        <f>AX26*Z26/1000</f>
        <v/>
      </c>
      <c r="AZ26" s="23">
        <f>AY26*1.06</f>
        <v/>
      </c>
      <c r="BA26" s="22">
        <f>IFERROR(AY26/AA26,0)</f>
        <v/>
      </c>
      <c r="BB26" s="24" t="n"/>
      <c r="BC26" s="24" t="n"/>
      <c r="BD26" s="24" t="n"/>
      <c r="BE26" s="24">
        <f>IF(BB26&lt;&gt;"",BB26*BD26,0)</f>
        <v/>
      </c>
      <c r="BF26" s="24">
        <f>AV26-BE26</f>
        <v/>
      </c>
      <c r="BG26" s="24">
        <f>BF26*V26</f>
        <v/>
      </c>
      <c r="BH26" s="24">
        <f>(BF26*S26*U26*V26)/12</f>
        <v/>
      </c>
      <c r="BI26" s="24">
        <f>IFERROR(BH26/AV26,0)</f>
        <v/>
      </c>
      <c r="BJ26" s="24">
        <f>IFERROR(BH26*Z26/1000,0)</f>
        <v/>
      </c>
      <c r="BK26" s="24">
        <f>BJ26*1.06</f>
        <v/>
      </c>
      <c r="BL26" s="24" t="n"/>
      <c r="BM26" s="24" t="n"/>
    </row>
    <row r="27" ht="11.65" customFormat="1" customHeight="1" s="12">
      <c r="A27" s="85" t="inlineStr">
        <is>
          <t>Lumber</t>
        </is>
      </c>
      <c r="B27" s="30" t="n">
        <v>26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24" t="n"/>
      <c r="Q27" s="24">
        <f>SUM(C27:P27)</f>
        <v/>
      </c>
      <c r="R27" s="24">
        <f>SUM(B27:P27)</f>
        <v/>
      </c>
      <c r="S27" s="30" t="n">
        <v>2</v>
      </c>
      <c r="T27" s="29" t="inlineStr">
        <is>
          <t>x</t>
        </is>
      </c>
      <c r="U27" s="30" t="n">
        <v>10</v>
      </c>
      <c r="V27" s="30" t="n">
        <v>14</v>
      </c>
      <c r="W27" s="29" t="inlineStr">
        <is>
          <t>SYP #2</t>
        </is>
      </c>
      <c r="X27" s="24">
        <f>R27*V27</f>
        <v/>
      </c>
      <c r="Y27" s="84">
        <f>(R27*S27*U27*V27)/12</f>
        <v/>
      </c>
      <c r="Z27" s="62" t="n">
        <v>485</v>
      </c>
      <c r="AA27" s="7">
        <f>(Y27*Z27)/1000</f>
        <v/>
      </c>
      <c r="AB27" s="83">
        <f>AA27*1.06</f>
        <v/>
      </c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>
        <f>SUM(AD27:AP27)</f>
        <v/>
      </c>
      <c r="AW27" s="24">
        <f>AV27*V27</f>
        <v/>
      </c>
      <c r="AX27" s="24">
        <f>AV27*S27*U27*V27/12</f>
        <v/>
      </c>
      <c r="AY27" s="7">
        <f>AX27*Z27/1000</f>
        <v/>
      </c>
      <c r="AZ27" s="23">
        <f>AY27*1.06</f>
        <v/>
      </c>
      <c r="BA27" s="22">
        <f>IFERROR(AY27/AA27,0)</f>
        <v/>
      </c>
      <c r="BB27" s="24" t="n"/>
      <c r="BC27" s="24" t="n"/>
      <c r="BD27" s="24" t="n"/>
      <c r="BE27" s="24">
        <f>IF(BB27&lt;&gt;"",BB27*BD27,0)</f>
        <v/>
      </c>
      <c r="BF27" s="24">
        <f>AV27-BE27</f>
        <v/>
      </c>
      <c r="BG27" s="24">
        <f>BF27*V27</f>
        <v/>
      </c>
      <c r="BH27" s="24">
        <f>(BF27*S27*U27*V27)/12</f>
        <v/>
      </c>
      <c r="BI27" s="24">
        <f>IFERROR(BH27/AV27,0)</f>
        <v/>
      </c>
      <c r="BJ27" s="24">
        <f>IFERROR(BH27*Z27/1000,0)</f>
        <v/>
      </c>
      <c r="BK27" s="24">
        <f>BJ27*1.06</f>
        <v/>
      </c>
      <c r="BL27" s="24" t="n"/>
      <c r="BM27" s="24" t="n"/>
    </row>
    <row r="28" ht="11.65" customFormat="1" customHeight="1" s="12">
      <c r="A28" s="85" t="inlineStr">
        <is>
          <t>Lumber</t>
        </is>
      </c>
      <c r="B28" s="30" t="n">
        <v>693</v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24" t="n"/>
      <c r="Q28" s="24">
        <f>SUM(C28:P28)</f>
        <v/>
      </c>
      <c r="R28" s="24">
        <f>SUM(B28:P28)</f>
        <v/>
      </c>
      <c r="S28" s="30" t="n">
        <v>2</v>
      </c>
      <c r="T28" s="29" t="inlineStr">
        <is>
          <t>x</t>
        </is>
      </c>
      <c r="U28" s="30" t="n">
        <v>12</v>
      </c>
      <c r="V28" s="30" t="n">
        <v>1</v>
      </c>
      <c r="W28" s="29" t="inlineStr">
        <is>
          <t>SYP #2</t>
        </is>
      </c>
      <c r="X28" s="24">
        <f>R28*V28</f>
        <v/>
      </c>
      <c r="Y28" s="84">
        <f>(R28*S28*U28*V28)/12</f>
        <v/>
      </c>
      <c r="Z28" s="62" t="n">
        <v>535</v>
      </c>
      <c r="AA28" s="7">
        <f>(Y28*Z28)/1000</f>
        <v/>
      </c>
      <c r="AB28" s="83">
        <f>AA28*1.06</f>
        <v/>
      </c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>
        <f>SUM(AD28:AP28)</f>
        <v/>
      </c>
      <c r="AW28" s="24">
        <f>AV28*V28</f>
        <v/>
      </c>
      <c r="AX28" s="24">
        <f>AV28*S28*U28*V28/12</f>
        <v/>
      </c>
      <c r="AY28" s="7">
        <f>AX28*Z28/1000</f>
        <v/>
      </c>
      <c r="AZ28" s="23">
        <f>AY28*1.06</f>
        <v/>
      </c>
      <c r="BA28" s="22">
        <f>IFERROR(AY28/AA28,0)</f>
        <v/>
      </c>
      <c r="BB28" s="24" t="n"/>
      <c r="BC28" s="24" t="n"/>
      <c r="BD28" s="24" t="n"/>
      <c r="BE28" s="24">
        <f>IF(BB28&lt;&gt;"",BB28*BD28,0)</f>
        <v/>
      </c>
      <c r="BF28" s="24">
        <f>AV28-BE28</f>
        <v/>
      </c>
      <c r="BG28" s="24">
        <f>BF28*V28</f>
        <v/>
      </c>
      <c r="BH28" s="24">
        <f>(BF28*S28*U28*V28)/12</f>
        <v/>
      </c>
      <c r="BI28" s="24">
        <f>IFERROR(BH28/AV28,0)</f>
        <v/>
      </c>
      <c r="BJ28" s="24">
        <f>IFERROR(BH28*Z28/1000,0)</f>
        <v/>
      </c>
      <c r="BK28" s="24">
        <f>BJ28*1.06</f>
        <v/>
      </c>
      <c r="BL28" s="24" t="n"/>
      <c r="BM28" s="24" t="n"/>
    </row>
    <row r="29" ht="11.65" customFormat="1" customHeight="1" s="12">
      <c r="A29" s="85" t="inlineStr">
        <is>
          <t>Lumber</t>
        </is>
      </c>
      <c r="B29" s="30" t="n">
        <v>18</v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24" t="n"/>
      <c r="Q29" s="24">
        <f>SUM(C29:P29)</f>
        <v/>
      </c>
      <c r="R29" s="24">
        <f>SUM(B29:P29)</f>
        <v/>
      </c>
      <c r="S29" s="30" t="n">
        <v>2</v>
      </c>
      <c r="T29" s="29" t="inlineStr">
        <is>
          <t>x</t>
        </is>
      </c>
      <c r="U29" s="30" t="n">
        <v>12</v>
      </c>
      <c r="V29" s="30" t="n">
        <v>1</v>
      </c>
      <c r="W29" s="29" t="inlineStr">
        <is>
          <t>SYP #2</t>
        </is>
      </c>
      <c r="X29" s="24">
        <f>R29*V29</f>
        <v/>
      </c>
      <c r="Y29" s="84">
        <f>(R29*S29*U29*V29)/12</f>
        <v/>
      </c>
      <c r="Z29" s="62" t="n">
        <v>535</v>
      </c>
      <c r="AA29" s="7">
        <f>(Y29*Z29)/1000</f>
        <v/>
      </c>
      <c r="AB29" s="83">
        <f>AA29*1.06</f>
        <v/>
      </c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>
        <f>SUM(AD29:AP29)</f>
        <v/>
      </c>
      <c r="AW29" s="24">
        <f>AV29*V29</f>
        <v/>
      </c>
      <c r="AX29" s="24">
        <f>AV29*S29*U29*V29/12</f>
        <v/>
      </c>
      <c r="AY29" s="7">
        <f>AX29*Z29/1000</f>
        <v/>
      </c>
      <c r="AZ29" s="23">
        <f>AY29*1.06</f>
        <v/>
      </c>
      <c r="BA29" s="22">
        <f>IFERROR(AY29/AA29,0)</f>
        <v/>
      </c>
      <c r="BB29" s="24" t="n"/>
      <c r="BC29" s="24" t="n"/>
      <c r="BD29" s="24" t="n"/>
      <c r="BE29" s="24">
        <f>IF(BB29&lt;&gt;"",BB29*BD29,0)</f>
        <v/>
      </c>
      <c r="BF29" s="24">
        <f>AV29-BE29</f>
        <v/>
      </c>
      <c r="BG29" s="24">
        <f>BF29*V29</f>
        <v/>
      </c>
      <c r="BH29" s="24">
        <f>(BF29*S29*U29*V29)/12</f>
        <v/>
      </c>
      <c r="BI29" s="24">
        <f>IFERROR(BH29/AV29,0)</f>
        <v/>
      </c>
      <c r="BJ29" s="24">
        <f>IFERROR(BH29*Z29/1000,0)</f>
        <v/>
      </c>
      <c r="BK29" s="24">
        <f>BJ29*1.06</f>
        <v/>
      </c>
      <c r="BL29" s="24" t="n"/>
      <c r="BM29" s="24" t="n"/>
    </row>
    <row r="30" ht="11.65" customFormat="1" customHeight="1" s="12">
      <c r="A30" s="85" t="inlineStr">
        <is>
          <t>Lumber</t>
        </is>
      </c>
      <c r="B30" s="30" t="n">
        <v>115</v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24" t="n"/>
      <c r="Q30" s="24">
        <f>SUM(C30:P30)</f>
        <v/>
      </c>
      <c r="R30" s="24">
        <f>SUM(B30:P30)</f>
        <v/>
      </c>
      <c r="S30" s="30" t="n">
        <v>2</v>
      </c>
      <c r="T30" s="29" t="inlineStr">
        <is>
          <t>x</t>
        </is>
      </c>
      <c r="U30" s="30" t="n">
        <v>12</v>
      </c>
      <c r="V30" s="30" t="n">
        <v>10</v>
      </c>
      <c r="W30" s="29" t="inlineStr">
        <is>
          <t>SYP #2</t>
        </is>
      </c>
      <c r="X30" s="24">
        <f>R30*V30</f>
        <v/>
      </c>
      <c r="Y30" s="84">
        <f>(R30*S30*U30*V30)/12</f>
        <v/>
      </c>
      <c r="Z30" s="62" t="n">
        <v>535</v>
      </c>
      <c r="AA30" s="7">
        <f>(Y30*Z30)/1000</f>
        <v/>
      </c>
      <c r="AB30" s="83">
        <f>AA30*1.06</f>
        <v/>
      </c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>
        <f>SUM(AD30:AP30)</f>
        <v/>
      </c>
      <c r="AW30" s="24">
        <f>AV30*V30</f>
        <v/>
      </c>
      <c r="AX30" s="24">
        <f>AV30*S30*U30*V30/12</f>
        <v/>
      </c>
      <c r="AY30" s="7">
        <f>AX30*Z30/1000</f>
        <v/>
      </c>
      <c r="AZ30" s="23">
        <f>AY30*1.06</f>
        <v/>
      </c>
      <c r="BA30" s="22">
        <f>IFERROR(AY30/AA30,0)</f>
        <v/>
      </c>
      <c r="BB30" s="24" t="n"/>
      <c r="BC30" s="24" t="n"/>
      <c r="BD30" s="24" t="n"/>
      <c r="BE30" s="24">
        <f>IF(BB30&lt;&gt;"",BB30*BD30,0)</f>
        <v/>
      </c>
      <c r="BF30" s="24">
        <f>AV30-BE30</f>
        <v/>
      </c>
      <c r="BG30" s="24">
        <f>BF30*V30</f>
        <v/>
      </c>
      <c r="BH30" s="24">
        <f>(BF30*S30*U30*V30)/12</f>
        <v/>
      </c>
      <c r="BI30" s="24">
        <f>IFERROR(BH30/AV30,0)</f>
        <v/>
      </c>
      <c r="BJ30" s="24">
        <f>IFERROR(BH30*Z30/1000,0)</f>
        <v/>
      </c>
      <c r="BK30" s="24">
        <f>BJ30*1.06</f>
        <v/>
      </c>
      <c r="BL30" s="24" t="n"/>
      <c r="BM30" s="24" t="n"/>
    </row>
    <row r="31" ht="23.25" customFormat="1" customHeight="1" s="12">
      <c r="A31" s="85" t="inlineStr">
        <is>
          <t>Lumber</t>
        </is>
      </c>
      <c r="B31" s="30" t="n">
        <v>131</v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24" t="n"/>
      <c r="Q31" s="24">
        <f>SUM(C31:P31)</f>
        <v/>
      </c>
      <c r="R31" s="24">
        <f>SUM(B31:P31)</f>
        <v/>
      </c>
      <c r="S31" s="30" t="n">
        <v>2</v>
      </c>
      <c r="T31" s="29" t="inlineStr">
        <is>
          <t>x</t>
        </is>
      </c>
      <c r="U31" s="30" t="n">
        <v>12</v>
      </c>
      <c r="V31" s="30" t="n">
        <v>12</v>
      </c>
      <c r="W31" s="29" t="inlineStr">
        <is>
          <t>SYP #2</t>
        </is>
      </c>
      <c r="X31" s="24">
        <f>R31*V31</f>
        <v/>
      </c>
      <c r="Y31" s="84">
        <f>(R31*S31*U31*V31)/12</f>
        <v/>
      </c>
      <c r="Z31" s="62" t="n">
        <v>535</v>
      </c>
      <c r="AA31" s="7">
        <f>(Y31*Z31)/1000</f>
        <v/>
      </c>
      <c r="AB31" s="83">
        <f>AA31*1.06</f>
        <v/>
      </c>
      <c r="AC31" s="53" t="inlineStr">
        <is>
          <t>60126002
60126022</t>
        </is>
      </c>
      <c r="AD31" s="24">
        <f>64+64</f>
        <v/>
      </c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>
        <f>SUM(AD31:AP31)</f>
        <v/>
      </c>
      <c r="AW31" s="24">
        <f>AV31*V31</f>
        <v/>
      </c>
      <c r="AX31" s="24">
        <f>AV31*S31*U31*V31/12</f>
        <v/>
      </c>
      <c r="AY31" s="7">
        <f>AX31*Z31/1000</f>
        <v/>
      </c>
      <c r="AZ31" s="23">
        <f>AY31*1.06</f>
        <v/>
      </c>
      <c r="BA31" s="22">
        <f>IFERROR(AY31/AA31,0)</f>
        <v/>
      </c>
      <c r="BB31" s="24" t="n"/>
      <c r="BC31" s="24" t="n"/>
      <c r="BD31" s="24" t="n">
        <v>70</v>
      </c>
      <c r="BE31" s="24">
        <f>IF(BB31&lt;&gt;"",BB31*BD31,0)</f>
        <v/>
      </c>
      <c r="BF31" s="24">
        <f>AV31-BE31</f>
        <v/>
      </c>
      <c r="BG31" s="24">
        <f>BF31*V31</f>
        <v/>
      </c>
      <c r="BH31" s="24">
        <f>(BF31*S31*U31*V31)/12</f>
        <v/>
      </c>
      <c r="BI31" s="24">
        <f>IFERROR(BH31/AV31,0)</f>
        <v/>
      </c>
      <c r="BJ31" s="24">
        <f>IFERROR(BH31*Z31/1000,0)</f>
        <v/>
      </c>
      <c r="BK31" s="24">
        <f>BJ31*1.06</f>
        <v/>
      </c>
      <c r="BL31" s="24" t="n"/>
      <c r="BM31" s="24" t="n"/>
    </row>
    <row r="32" ht="11.65" customFormat="1" customHeight="1" s="12">
      <c r="A32" s="134" t="inlineStr">
        <is>
          <t>Lumber</t>
        </is>
      </c>
      <c r="B32" s="354" t="n">
        <v>26</v>
      </c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354" t="n"/>
      <c r="P32" s="34" t="n"/>
      <c r="Q32" s="24">
        <f>SUM(C32:P32)</f>
        <v/>
      </c>
      <c r="R32" s="24">
        <f>SUM(B32:P32)</f>
        <v/>
      </c>
      <c r="S32" s="354" t="n">
        <v>2</v>
      </c>
      <c r="T32" s="356" t="inlineStr">
        <is>
          <t>x</t>
        </is>
      </c>
      <c r="U32" s="354" t="n">
        <v>12</v>
      </c>
      <c r="V32" s="354" t="n">
        <v>14</v>
      </c>
      <c r="W32" s="356" t="inlineStr">
        <is>
          <t>SYP #2</t>
        </is>
      </c>
      <c r="X32" s="34">
        <f>R32*V32</f>
        <v/>
      </c>
      <c r="Y32" s="102">
        <f>(R32*S32*U32*V32)/12</f>
        <v/>
      </c>
      <c r="Z32" s="57" t="n">
        <v>535</v>
      </c>
      <c r="AA32" s="14">
        <f>(Y32*Z32)/1000</f>
        <v/>
      </c>
      <c r="AB32" s="133">
        <f>AA32*1.06</f>
        <v/>
      </c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>
        <f>SUM(AD32:AP32)</f>
        <v/>
      </c>
      <c r="AW32" s="34">
        <f>AV32*V32</f>
        <v/>
      </c>
      <c r="AX32" s="24">
        <f>AV32*S32*U32*V32/12</f>
        <v/>
      </c>
      <c r="AY32" s="7">
        <f>AX32*Z32/1000</f>
        <v/>
      </c>
      <c r="AZ32" s="60">
        <f>AY32*1.06</f>
        <v/>
      </c>
      <c r="BA32" s="22">
        <f>IFERROR(AY32/AA32,0)</f>
        <v/>
      </c>
      <c r="BB32" s="34" t="n"/>
      <c r="BC32" s="34" t="n"/>
      <c r="BD32" s="34" t="n"/>
      <c r="BE32" s="34">
        <f>IF(BB32&lt;&gt;"",BB32*BD32,0)</f>
        <v/>
      </c>
      <c r="BF32" s="34">
        <f>AV32-BE32</f>
        <v/>
      </c>
      <c r="BG32" s="34">
        <f>BF32*V32</f>
        <v/>
      </c>
      <c r="BH32" s="34">
        <f>(BF32*S32*U32*V32)/12</f>
        <v/>
      </c>
      <c r="BI32" s="34">
        <f>IFERROR(BH32/AV32,0)</f>
        <v/>
      </c>
      <c r="BJ32" s="34">
        <f>IFERROR(BH32*Z32/1000,0)</f>
        <v/>
      </c>
      <c r="BK32" s="34">
        <f>BJ32*1.06</f>
        <v/>
      </c>
      <c r="BL32" s="34" t="n"/>
      <c r="BM32" s="34" t="n"/>
    </row>
    <row r="33" ht="11.65" customFormat="1" customHeight="1" s="24">
      <c r="A33" s="85" t="inlineStr">
        <is>
          <t>Lumber</t>
        </is>
      </c>
      <c r="B33" s="30" t="n">
        <v>236</v>
      </c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Q33" s="24">
        <f>SUM(C33:P33)</f>
        <v/>
      </c>
      <c r="R33" s="24">
        <f>SUM(B33:P33)</f>
        <v/>
      </c>
      <c r="S33" s="30" t="n">
        <v>4</v>
      </c>
      <c r="T33" s="29" t="inlineStr">
        <is>
          <t>x</t>
        </is>
      </c>
      <c r="U33" s="30" t="n">
        <v>4</v>
      </c>
      <c r="V33" s="30" t="n">
        <v>1</v>
      </c>
      <c r="W33" s="29" t="inlineStr">
        <is>
          <t>SYP #2</t>
        </is>
      </c>
      <c r="X33" s="24">
        <f>R33*V33</f>
        <v/>
      </c>
      <c r="Y33" s="84">
        <f>(R33*S33*U33*V33)/12</f>
        <v/>
      </c>
      <c r="Z33" s="62" t="n">
        <v>995</v>
      </c>
      <c r="AA33" s="7">
        <f>(Y33*Z33)/1000</f>
        <v/>
      </c>
      <c r="AB33" s="83">
        <f>AA33*1.06</f>
        <v/>
      </c>
      <c r="AV33" s="24">
        <f>SUM(AD33:AP33)</f>
        <v/>
      </c>
      <c r="AW33" s="24">
        <f>AV33*V33</f>
        <v/>
      </c>
      <c r="AX33" s="24">
        <f>AV33*S33*U33*V33/12</f>
        <v/>
      </c>
      <c r="AY33" s="7">
        <f>AX33*Z33/1000</f>
        <v/>
      </c>
      <c r="AZ33" s="23">
        <f>AY33*1.06</f>
        <v/>
      </c>
      <c r="BA33" s="22">
        <f>IFERROR(AY33/AA33,0)</f>
        <v/>
      </c>
      <c r="BE33">
        <f>IF(BB33&lt;&gt;"",BB33*BD33,0)</f>
        <v/>
      </c>
      <c r="BF33">
        <f>AV33-BE33</f>
        <v/>
      </c>
      <c r="BG33">
        <f>BF33*V33</f>
        <v/>
      </c>
      <c r="BH33">
        <f>(BF33*S33*U33*V33)/12</f>
        <v/>
      </c>
      <c r="BI33">
        <f>IFERROR(BH33/AV33,0)</f>
        <v/>
      </c>
      <c r="BJ33">
        <f>IFERROR(BH33*Z33/1000,0)</f>
        <v/>
      </c>
      <c r="BK33">
        <f>BJ33*1.06</f>
        <v/>
      </c>
    </row>
    <row r="34" ht="23.25" customFormat="1" customHeight="1" s="12">
      <c r="A34" s="85" t="inlineStr">
        <is>
          <t>Lumber</t>
        </is>
      </c>
      <c r="B34" s="30" t="n">
        <v>7116</v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24" t="n"/>
      <c r="Q34" s="24">
        <f>SUM(C34:P34)</f>
        <v/>
      </c>
      <c r="R34" s="24">
        <f>SUM(B34:P34)</f>
        <v/>
      </c>
      <c r="S34" s="30" t="n">
        <v>2</v>
      </c>
      <c r="T34" s="29" t="inlineStr">
        <is>
          <t>x</t>
        </is>
      </c>
      <c r="U34" s="30" t="n">
        <v>4</v>
      </c>
      <c r="V34" s="30" t="n">
        <v>9</v>
      </c>
      <c r="W34" s="29" t="inlineStr">
        <is>
          <t>SYP #2 PET 104-5/8</t>
        </is>
      </c>
      <c r="X34" s="24">
        <f>R34*V34</f>
        <v/>
      </c>
      <c r="Y34" s="84">
        <f>(R34*S34*U34*V34)/12</f>
        <v/>
      </c>
      <c r="Z34" s="62" t="n">
        <v>525</v>
      </c>
      <c r="AA34" s="7">
        <f>(Y34*Z34)/1000</f>
        <v/>
      </c>
      <c r="AB34" s="83">
        <f>AA34*1.06</f>
        <v/>
      </c>
      <c r="AC34" s="53" t="inlineStr">
        <is>
          <t>60126001
60126016</t>
        </is>
      </c>
      <c r="AD34" s="24">
        <f>20*208+20*208</f>
        <v/>
      </c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>
        <f>SUM(AD34:AP34)</f>
        <v/>
      </c>
      <c r="AW34" s="24">
        <f>AV34*V34</f>
        <v/>
      </c>
      <c r="AX34" s="24">
        <f>AV34*S34*U34*V34/12</f>
        <v/>
      </c>
      <c r="AY34" s="7">
        <f>AX34*Z34/1000</f>
        <v/>
      </c>
      <c r="AZ34" s="23">
        <f>AY34*1.06</f>
        <v/>
      </c>
      <c r="BA34" s="22">
        <f>IFERROR(AY34/AA34,0)</f>
        <v/>
      </c>
      <c r="BB34" s="24" t="n"/>
      <c r="BC34" s="24" t="n"/>
      <c r="BD34" s="24" t="n">
        <v>208</v>
      </c>
      <c r="BE34" s="24">
        <f>IF(BB34&lt;&gt;"",BB34*BD34,0)</f>
        <v/>
      </c>
      <c r="BF34" s="24">
        <f>AV34-BE34</f>
        <v/>
      </c>
      <c r="BG34" s="24">
        <f>BF34*V34</f>
        <v/>
      </c>
      <c r="BH34" s="24">
        <f>(BF34*S34*U34*V34)/12</f>
        <v/>
      </c>
      <c r="BI34" s="24">
        <f>IFERROR(BH34/AV34,0)</f>
        <v/>
      </c>
      <c r="BJ34" s="24">
        <f>IFERROR(BH34*Z34/1000,0)</f>
        <v/>
      </c>
      <c r="BK34" s="24">
        <f>BJ34*1.06</f>
        <v/>
      </c>
      <c r="BL34" s="24" t="n"/>
      <c r="BM34" s="24" t="n"/>
    </row>
    <row r="35" ht="11.65" customFormat="1" customHeight="1" s="12">
      <c r="A35" s="85" t="inlineStr">
        <is>
          <t>Lumber</t>
        </is>
      </c>
      <c r="B35" s="30" t="n"/>
      <c r="C35" s="30" t="n"/>
      <c r="D35" s="30" t="n"/>
      <c r="E35" s="30" t="n"/>
      <c r="F35" s="30" t="n"/>
      <c r="G35" s="30" t="n">
        <v>1664</v>
      </c>
      <c r="H35" s="30" t="n"/>
      <c r="I35" s="30" t="n"/>
      <c r="J35" s="30" t="n"/>
      <c r="K35" s="30" t="n"/>
      <c r="L35" s="30" t="n"/>
      <c r="M35" s="30" t="n"/>
      <c r="N35" s="30" t="n"/>
      <c r="O35" s="30" t="n"/>
      <c r="P35" s="24" t="n"/>
      <c r="Q35" s="24">
        <f>SUM(C35:P35)</f>
        <v/>
      </c>
      <c r="R35" s="24">
        <f>SUM(B35:P35)</f>
        <v/>
      </c>
      <c r="S35" s="362" t="n"/>
      <c r="T35" s="362" t="n"/>
      <c r="U35" s="362" t="n"/>
      <c r="V35" s="362" t="n"/>
      <c r="W35" s="362" t="n"/>
      <c r="X35" s="24">
        <f>R35*V34</f>
        <v/>
      </c>
      <c r="Y35" s="84">
        <f>(R35*S34*U34*V34)/12</f>
        <v/>
      </c>
      <c r="Z35" s="62" t="n">
        <v>545</v>
      </c>
      <c r="AA35" s="7">
        <f>(Y35*Z35)/1000</f>
        <v/>
      </c>
      <c r="AB35" s="83">
        <f>AA35*1.06</f>
        <v/>
      </c>
      <c r="AC35" s="53" t="n">
        <v>60126032</v>
      </c>
      <c r="AD35" s="24" t="n"/>
      <c r="AE35" s="24" t="n"/>
      <c r="AF35" s="24" t="n"/>
      <c r="AG35" s="24" t="n"/>
      <c r="AH35" s="24" t="n"/>
      <c r="AI35" s="24" t="n"/>
      <c r="AJ35" s="24" t="n"/>
      <c r="AK35" s="24" t="n">
        <v>1664</v>
      </c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>
        <f>SUM(AD35:AP35)</f>
        <v/>
      </c>
      <c r="AW35" s="24">
        <f>AV35*V35</f>
        <v/>
      </c>
      <c r="AX35" s="24">
        <f>AV35*S35*U35*V35/12</f>
        <v/>
      </c>
      <c r="AY35" s="7">
        <f>AX35*Z35/1000</f>
        <v/>
      </c>
      <c r="AZ35" s="23">
        <f>AY35*1.06</f>
        <v/>
      </c>
      <c r="BA35" s="22">
        <f>IFERROR(AY35/AA35,0)</f>
        <v/>
      </c>
      <c r="BB35" s="24" t="n"/>
      <c r="BC35" s="24" t="n"/>
      <c r="BD35" s="24" t="n"/>
      <c r="BE35" s="24">
        <f>IF(BB35&lt;&gt;"",BB35*BD35,0)</f>
        <v/>
      </c>
      <c r="BF35" s="24">
        <f>AV35-BE35</f>
        <v/>
      </c>
      <c r="BG35" s="24">
        <f>BF35*V35</f>
        <v/>
      </c>
      <c r="BH35" s="24">
        <f>(BF35*S35*U35*V35)/12</f>
        <v/>
      </c>
      <c r="BI35" s="24">
        <f>IFERROR(BH35/AV35,0)</f>
        <v/>
      </c>
      <c r="BJ35" s="24">
        <f>IFERROR(BH35*Z35/1000,0)</f>
        <v/>
      </c>
      <c r="BK35" s="24">
        <f>BJ35*1.06</f>
        <v/>
      </c>
      <c r="BL35" s="24" t="n"/>
      <c r="BM35" s="24" t="n"/>
    </row>
    <row r="36" ht="69.75" customFormat="1" customHeight="1" s="12">
      <c r="A36" s="85" t="inlineStr">
        <is>
          <t>Lumber</t>
        </is>
      </c>
      <c r="B36" s="30" t="n">
        <v>9177</v>
      </c>
      <c r="C36" s="30" t="n"/>
      <c r="D36" s="30" t="n"/>
      <c r="E36" s="30">
        <f>1063</f>
        <v/>
      </c>
      <c r="F36" s="30" t="n"/>
      <c r="G36" s="30" t="n"/>
      <c r="H36" s="30" t="n"/>
      <c r="I36" s="30" t="n"/>
      <c r="J36" s="30" t="n">
        <v>128</v>
      </c>
      <c r="K36" s="30" t="n"/>
      <c r="L36" s="30" t="n"/>
      <c r="M36" s="30" t="n"/>
      <c r="N36" s="30" t="n"/>
      <c r="O36" s="30" t="n"/>
      <c r="P36" s="24" t="n"/>
      <c r="Q36" s="24">
        <f>SUM(C36:P36)</f>
        <v/>
      </c>
      <c r="R36" s="24">
        <f>SUM(B36:P36)</f>
        <v/>
      </c>
      <c r="S36" s="30" t="n">
        <v>2</v>
      </c>
      <c r="T36" s="29" t="inlineStr">
        <is>
          <t>x</t>
        </is>
      </c>
      <c r="U36" s="30" t="n">
        <v>6</v>
      </c>
      <c r="V36" s="30" t="n">
        <v>9</v>
      </c>
      <c r="W36" s="29" t="inlineStr">
        <is>
          <t>SYP #2 PET 104-5/8</t>
        </is>
      </c>
      <c r="X36" s="24">
        <f>R36*V36</f>
        <v/>
      </c>
      <c r="Y36" s="84">
        <f>(R36*S36*U36*V36)/12</f>
        <v/>
      </c>
      <c r="Z36" s="62" t="n">
        <v>525</v>
      </c>
      <c r="AA36" s="7">
        <f>(Y36*Z36)/1000</f>
        <v/>
      </c>
      <c r="AB36" s="83">
        <f>AA36*1.06</f>
        <v/>
      </c>
      <c r="AC36" s="53" t="inlineStr">
        <is>
          <t>60126006
60126017
60126025
60126030
60126029
60126036</t>
        </is>
      </c>
      <c r="AD36" s="24">
        <f>2560+2560</f>
        <v/>
      </c>
      <c r="AE36" s="24" t="n">
        <v>2560</v>
      </c>
      <c r="AF36" s="24" t="n"/>
      <c r="AG36" s="24" t="n"/>
      <c r="AH36" s="24" t="n"/>
      <c r="AI36" s="24">
        <f>512+2048</f>
        <v/>
      </c>
      <c r="AJ36" s="24" t="n"/>
      <c r="AK36" s="24" t="n"/>
      <c r="AL36" s="24">
        <f>128</f>
        <v/>
      </c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>
        <f>SUM(AD36:AP36)</f>
        <v/>
      </c>
      <c r="AW36" s="24">
        <f>AV36*V36</f>
        <v/>
      </c>
      <c r="AX36" s="24">
        <f>AV36*S36*U36*V36/12</f>
        <v/>
      </c>
      <c r="AY36" s="7">
        <f>AX36*Z36/1000</f>
        <v/>
      </c>
      <c r="AZ36" s="23">
        <f>AY36*1.06</f>
        <v/>
      </c>
      <c r="BA36" s="22">
        <f>IFERROR(AY36/AA36,0)</f>
        <v/>
      </c>
      <c r="BB36" s="24" t="n"/>
      <c r="BC36" s="24" t="n"/>
      <c r="BD36" s="24" t="n"/>
      <c r="BE36" s="24">
        <f>IF(BB36&lt;&gt;"",BB36*BD36,0)</f>
        <v/>
      </c>
      <c r="BF36" s="24">
        <f>AV36-BE36</f>
        <v/>
      </c>
      <c r="BG36" s="24">
        <f>BF36*V36</f>
        <v/>
      </c>
      <c r="BH36" s="24">
        <f>(BF36*S36*U36*V36)/12</f>
        <v/>
      </c>
      <c r="BI36" s="24">
        <f>IFERROR(BH36/AV36,0)</f>
        <v/>
      </c>
      <c r="BJ36" s="24">
        <f>IFERROR(BH36*Z36/1000,0)</f>
        <v/>
      </c>
      <c r="BK36" s="24">
        <f>BJ36*1.06</f>
        <v/>
      </c>
      <c r="BL36" s="24" t="n"/>
      <c r="BM36" s="24" t="n"/>
    </row>
    <row r="37" ht="11.65" customFormat="1" customHeight="1" s="12">
      <c r="A37" s="85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>
        <v>128</v>
      </c>
      <c r="P37" s="24" t="n"/>
      <c r="Q37" s="24">
        <f>SUM(C37:P37)</f>
        <v/>
      </c>
      <c r="R37" s="24">
        <f>SUM(B37:P37)</f>
        <v/>
      </c>
      <c r="S37" s="362" t="n"/>
      <c r="T37" s="362" t="n"/>
      <c r="U37" s="362" t="n"/>
      <c r="V37" s="362" t="n"/>
      <c r="W37" s="362" t="n"/>
      <c r="X37" s="24">
        <f>R37*V36</f>
        <v/>
      </c>
      <c r="Y37" s="84">
        <f>(R37*S36*U36*V36)/12</f>
        <v/>
      </c>
      <c r="Z37" s="62" t="n">
        <v>645</v>
      </c>
      <c r="AA37" s="7">
        <f>(Y37*Z37)/1000</f>
        <v/>
      </c>
      <c r="AB37" s="83">
        <f>AA37*1.06</f>
        <v/>
      </c>
      <c r="AC37" s="53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>
        <f>SUM(AD37:AU37)</f>
        <v/>
      </c>
      <c r="AW37" s="24">
        <f>AV37*V37</f>
        <v/>
      </c>
      <c r="AX37" s="24">
        <f>AV37*S37*U37*V37/12</f>
        <v/>
      </c>
      <c r="AY37" s="7">
        <f>AX37*Z37/1000</f>
        <v/>
      </c>
      <c r="AZ37" s="23">
        <f>AY37*1.06</f>
        <v/>
      </c>
      <c r="BA37" s="22">
        <f>IFERROR(AY37/AA37,0)</f>
        <v/>
      </c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</row>
    <row r="38" ht="23.25" customFormat="1" customHeight="1" s="12">
      <c r="A38" s="85" t="inlineStr">
        <is>
          <t>Lumber</t>
        </is>
      </c>
      <c r="B38" s="30" t="n">
        <v>982</v>
      </c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24" t="n"/>
      <c r="Q38" s="24">
        <f>SUM(C38:P38)</f>
        <v/>
      </c>
      <c r="R38" s="24">
        <f>SUM(B38:P38)</f>
        <v/>
      </c>
      <c r="S38" s="30" t="n">
        <v>2</v>
      </c>
      <c r="T38" s="29" t="inlineStr">
        <is>
          <t>x</t>
        </is>
      </c>
      <c r="U38" s="30" t="n">
        <v>8</v>
      </c>
      <c r="V38" s="30" t="n">
        <v>9</v>
      </c>
      <c r="W38" s="29" t="inlineStr">
        <is>
          <t>SYP #2 PET 104-5/8</t>
        </is>
      </c>
      <c r="X38" s="24">
        <f>R38*V38</f>
        <v/>
      </c>
      <c r="Y38" s="84">
        <f>(R38*S38*U38*V38)/12</f>
        <v/>
      </c>
      <c r="Z38" s="62" t="n">
        <v>485</v>
      </c>
      <c r="AA38" s="7">
        <f>(Y38*Z38)/1000</f>
        <v/>
      </c>
      <c r="AB38" s="83">
        <f>AA38*1.06</f>
        <v/>
      </c>
      <c r="AC38" s="53" t="inlineStr">
        <is>
          <t>60126012
60126014</t>
        </is>
      </c>
      <c r="AD38" s="24">
        <f>480+480</f>
        <v/>
      </c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>
        <f>SUM(AD38:AP38)</f>
        <v/>
      </c>
      <c r="AW38" s="24">
        <f>AV38*V38</f>
        <v/>
      </c>
      <c r="AX38" s="24">
        <f>AV38*S38*U38*V38/12</f>
        <v/>
      </c>
      <c r="AY38" s="7">
        <f>AX38*Z38/1000</f>
        <v/>
      </c>
      <c r="AZ38" s="23">
        <f>AY38*1.06</f>
        <v/>
      </c>
      <c r="BA38" s="22">
        <f>IFERROR(AY38/AA38,0)</f>
        <v/>
      </c>
      <c r="BB38" s="24" t="n"/>
      <c r="BC38" s="24" t="n"/>
      <c r="BD38" s="24" t="n"/>
      <c r="BE38" s="24">
        <f>IF(BB38&lt;&gt;"",BB38*BD38,0)</f>
        <v/>
      </c>
      <c r="BF38" s="24">
        <f>AV38-BE38</f>
        <v/>
      </c>
      <c r="BG38" s="24">
        <f>BF38*V38</f>
        <v/>
      </c>
      <c r="BH38" s="24">
        <f>(BF38*S38*U38*V38)/12</f>
        <v/>
      </c>
      <c r="BI38" s="24">
        <f>IFERROR(BH38/AV38,0)</f>
        <v/>
      </c>
      <c r="BJ38" s="24">
        <f>IFERROR(BH38*Z38/1000,0)</f>
        <v/>
      </c>
      <c r="BK38" s="24">
        <f>BJ38*1.06</f>
        <v/>
      </c>
      <c r="BL38" s="24" t="n"/>
      <c r="BM38" s="24" t="n"/>
    </row>
    <row r="39" ht="13.15" customFormat="1" customHeight="1" s="152">
      <c r="A39" s="150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S39" s="151" t="n"/>
      <c r="T39" s="150" t="n"/>
      <c r="U39" s="151" t="n"/>
      <c r="V39" s="151" t="n"/>
      <c r="W39" s="150" t="n"/>
      <c r="Y39" s="153" t="n"/>
      <c r="Z39" s="154" t="n"/>
      <c r="AA39" s="155" t="n"/>
      <c r="AB39" s="155" t="n"/>
      <c r="AZ39" s="156" t="n"/>
      <c r="BA39" s="157" t="n"/>
    </row>
    <row r="40" ht="34.9" customFormat="1" customHeight="1" s="24">
      <c r="A40" s="81" t="inlineStr">
        <is>
          <t>LVL</t>
        </is>
      </c>
      <c r="B40" s="30" t="n">
        <v>495</v>
      </c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Q40" s="24">
        <f>SUM(C40:P40)</f>
        <v/>
      </c>
      <c r="R40" s="24">
        <f>SUM(B40:P40)</f>
        <v/>
      </c>
      <c r="S40" s="63" t="inlineStr">
        <is>
          <t xml:space="preserve"> </t>
        </is>
      </c>
      <c r="T40" s="63" t="inlineStr">
        <is>
          <t xml:space="preserve"> </t>
        </is>
      </c>
      <c r="U40" s="30" t="n"/>
      <c r="V40" s="30" t="n">
        <v>9</v>
      </c>
      <c r="W40" s="29" t="inlineStr">
        <is>
          <t>3-1/2X5-1/4 PSL/GLB</t>
        </is>
      </c>
      <c r="X40" s="24">
        <f>R40*V40</f>
        <v/>
      </c>
      <c r="Z40" s="62" t="n">
        <v>6.88</v>
      </c>
      <c r="AA40" s="7">
        <f>X40*Z40</f>
        <v/>
      </c>
      <c r="AB40" s="7">
        <f>AA40*1.06</f>
        <v/>
      </c>
      <c r="AC40" s="53" t="inlineStr">
        <is>
          <t>60126007
60126015
60126026</t>
        </is>
      </c>
      <c r="AD40" s="24">
        <f>2160/9</f>
        <v/>
      </c>
      <c r="AE40" s="24">
        <f>2160/9</f>
        <v/>
      </c>
      <c r="AF40" s="24">
        <f>135/9</f>
        <v/>
      </c>
      <c r="AV40" s="24">
        <f>SUM(AD40:AP40)</f>
        <v/>
      </c>
      <c r="AW40" s="24">
        <f>AV40*V40</f>
        <v/>
      </c>
      <c r="AY40" s="7">
        <f>AW40*Z40</f>
        <v/>
      </c>
      <c r="AZ40" s="23">
        <f>AY40*1.06</f>
        <v/>
      </c>
      <c r="BA40" s="22">
        <f>IFERROR(AY40/AA40,0)</f>
        <v/>
      </c>
      <c r="BE40">
        <f>IF(BB40&lt;&gt;"",BB40*BD40,0)</f>
        <v/>
      </c>
      <c r="BF40">
        <f>AV40-BE40</f>
        <v/>
      </c>
      <c r="BG40">
        <f>BF40*V40</f>
        <v/>
      </c>
      <c r="BH40">
        <f>BF40</f>
        <v/>
      </c>
      <c r="BI40">
        <f>IFERROR(BH40/AV40,0)</f>
        <v/>
      </c>
      <c r="BJ40">
        <f>IFERROR(BH40*Z40/1000,0)</f>
        <v/>
      </c>
      <c r="BK40">
        <f>BJ40*1.06</f>
        <v/>
      </c>
    </row>
    <row r="41" ht="23.25" customFormat="1" customHeight="1" s="12">
      <c r="A41" s="158" t="inlineStr">
        <is>
          <t>LVL</t>
        </is>
      </c>
      <c r="B41" s="355" t="n">
        <v>16</v>
      </c>
      <c r="C41" s="355" t="n"/>
      <c r="D41" s="355" t="n"/>
      <c r="E41" s="355" t="n"/>
      <c r="F41" s="355" t="n"/>
      <c r="G41" s="355" t="n"/>
      <c r="H41" s="355" t="n"/>
      <c r="I41" s="355" t="n"/>
      <c r="J41" s="355" t="n"/>
      <c r="K41" s="355" t="n"/>
      <c r="L41" s="355" t="n"/>
      <c r="M41" s="355" t="n"/>
      <c r="N41" s="355" t="n"/>
      <c r="O41" s="355" t="n"/>
      <c r="P41" s="65" t="n"/>
      <c r="Q41" s="24">
        <f>SUM(C41:P41)</f>
        <v/>
      </c>
      <c r="R41" s="24">
        <f>SUM(B41:P41)</f>
        <v/>
      </c>
      <c r="S41" s="70" t="inlineStr">
        <is>
          <t xml:space="preserve"> </t>
        </is>
      </c>
      <c r="T41" s="70" t="inlineStr">
        <is>
          <t xml:space="preserve"> </t>
        </is>
      </c>
      <c r="U41" s="355" t="n"/>
      <c r="V41" s="355" t="n">
        <v>12</v>
      </c>
      <c r="W41" s="357" t="inlineStr">
        <is>
          <t>3-1/2X5-1/4 PSL/GLB</t>
        </is>
      </c>
      <c r="X41" s="65">
        <f>R41*V41</f>
        <v/>
      </c>
      <c r="Y41" s="65" t="n"/>
      <c r="Z41" s="69" t="n">
        <v>6.88</v>
      </c>
      <c r="AA41" s="68">
        <f>X41*Z41</f>
        <v/>
      </c>
      <c r="AB41" s="68">
        <f>AA41*1.06</f>
        <v/>
      </c>
      <c r="AC41" s="92" t="inlineStr">
        <is>
          <t>60126015
60126026</t>
        </is>
      </c>
      <c r="AD41" s="65" t="n"/>
      <c r="AE41" s="65">
        <f>180/12</f>
        <v/>
      </c>
      <c r="AF41" s="65">
        <f>12/12</f>
        <v/>
      </c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>
        <f>SUM(AD41:AP41)</f>
        <v/>
      </c>
      <c r="AW41" s="65">
        <f>AV41*V41</f>
        <v/>
      </c>
      <c r="AX41" s="65" t="n"/>
      <c r="AY41" s="7">
        <f>AW41*Z41</f>
        <v/>
      </c>
      <c r="AZ41" s="67">
        <f>AY41*1.06</f>
        <v/>
      </c>
      <c r="BA41" s="22">
        <f>IFERROR(AY41/AA41,0)</f>
        <v/>
      </c>
      <c r="BB41" s="65" t="n"/>
      <c r="BC41" s="65" t="n"/>
      <c r="BD41" s="65" t="n"/>
      <c r="BE41" s="65">
        <f>IF(BB41&lt;&gt;"",BB41*BD41,0)</f>
        <v/>
      </c>
      <c r="BF41" s="65">
        <f>AV41-BE41</f>
        <v/>
      </c>
      <c r="BG41" s="65">
        <f>BF41*V41</f>
        <v/>
      </c>
      <c r="BH41" s="65">
        <f>BF41</f>
        <v/>
      </c>
      <c r="BI41" s="65">
        <f>IFERROR(BH41/AV41,0)</f>
        <v/>
      </c>
      <c r="BJ41" s="65">
        <f>IFERROR(BH41*Z41/1000,0)</f>
        <v/>
      </c>
      <c r="BK41" s="65">
        <f>BJ41*1.06</f>
        <v/>
      </c>
      <c r="BL41" s="65" t="n"/>
      <c r="BM41" s="65" t="n"/>
    </row>
    <row r="42" ht="11.65" customFormat="1" customHeight="1" s="12">
      <c r="A42" s="158" t="n"/>
      <c r="B42" s="355" t="n"/>
      <c r="C42" s="355" t="n"/>
      <c r="D42" s="355" t="n"/>
      <c r="E42" s="355" t="n"/>
      <c r="F42" s="355" t="n"/>
      <c r="G42" s="355" t="n"/>
      <c r="H42" s="355" t="n"/>
      <c r="I42" s="355" t="n"/>
      <c r="J42" s="355" t="n"/>
      <c r="K42" s="355" t="n"/>
      <c r="L42" s="355" t="n"/>
      <c r="M42" s="355" t="n"/>
      <c r="N42" s="355" t="n"/>
      <c r="O42" s="355" t="n">
        <v>72</v>
      </c>
      <c r="P42" s="65" t="n"/>
      <c r="Q42" s="24">
        <f>SUM(C42:P42)</f>
        <v/>
      </c>
      <c r="R42" s="24">
        <f>SUM(B42:P42)</f>
        <v/>
      </c>
      <c r="S42" s="70" t="inlineStr">
        <is>
          <t xml:space="preserve"> </t>
        </is>
      </c>
      <c r="T42" s="70" t="inlineStr">
        <is>
          <t xml:space="preserve"> </t>
        </is>
      </c>
      <c r="U42" s="355" t="n"/>
      <c r="V42" s="355" t="n">
        <v>12</v>
      </c>
      <c r="W42" s="357" t="inlineStr">
        <is>
          <t>3-1/2X11-7/8 GLULAM BEAM 6/12'</t>
        </is>
      </c>
      <c r="X42" s="65">
        <f>R42*V42</f>
        <v/>
      </c>
      <c r="Y42" s="65" t="n"/>
      <c r="Z42" s="69" t="n">
        <v>19.45</v>
      </c>
      <c r="AA42" s="68">
        <f>Z42*R42</f>
        <v/>
      </c>
      <c r="AB42" s="68">
        <f>AA42*1.06</f>
        <v/>
      </c>
      <c r="AC42" s="92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>
        <f>SUM(AD42:AU42)</f>
        <v/>
      </c>
      <c r="AW42" s="65">
        <f>AV42*V42</f>
        <v/>
      </c>
      <c r="AX42" s="65" t="n"/>
      <c r="AY42" s="7">
        <f>AW42*Z42</f>
        <v/>
      </c>
      <c r="AZ42" s="67">
        <f>AY42*1.06</f>
        <v/>
      </c>
      <c r="BA42" s="22">
        <f>IFERROR(AY42/AA42,0)</f>
        <v/>
      </c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</row>
    <row r="43" ht="34.9" customFormat="1" customHeight="1" s="12">
      <c r="A43" s="81" t="inlineStr">
        <is>
          <t>LVL</t>
        </is>
      </c>
      <c r="B43" s="30" t="n">
        <v>26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24" t="n"/>
      <c r="Q43" s="24">
        <f>SUM(C43:P43)</f>
        <v/>
      </c>
      <c r="R43" s="24">
        <f>SUM(B43:P43)</f>
        <v/>
      </c>
      <c r="S43" s="63" t="inlineStr">
        <is>
          <t xml:space="preserve"> </t>
        </is>
      </c>
      <c r="T43" s="63" t="inlineStr">
        <is>
          <t xml:space="preserve"> </t>
        </is>
      </c>
      <c r="U43" s="30" t="n"/>
      <c r="V43" s="30" t="n">
        <v>10</v>
      </c>
      <c r="W43" s="29" t="inlineStr">
        <is>
          <t>3-1/2X11-7/8 PSL/GLB</t>
        </is>
      </c>
      <c r="X43" s="24">
        <f>R43*V43</f>
        <v/>
      </c>
      <c r="Y43" s="24" t="n"/>
      <c r="Z43" s="62" t="n">
        <v>13</v>
      </c>
      <c r="AA43" s="7">
        <f>X43*Z43</f>
        <v/>
      </c>
      <c r="AB43" s="7">
        <f>AA43*1.06</f>
        <v/>
      </c>
      <c r="AC43" s="53" t="inlineStr">
        <is>
          <t>60126007
60126015
60126026</t>
        </is>
      </c>
      <c r="AD43" s="24">
        <f>120/10</f>
        <v/>
      </c>
      <c r="AE43" s="24">
        <f>120/10</f>
        <v/>
      </c>
      <c r="AF43" s="24">
        <f>20/10</f>
        <v/>
      </c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>
        <f>SUM(AD43:AP43)</f>
        <v/>
      </c>
      <c r="AW43" s="24">
        <f>AV43*V43</f>
        <v/>
      </c>
      <c r="AX43" s="24" t="n"/>
      <c r="AY43" s="7">
        <f>AW43*Z43</f>
        <v/>
      </c>
      <c r="AZ43" s="23">
        <f>AY43*1.06</f>
        <v/>
      </c>
      <c r="BA43" s="22">
        <f>IFERROR(AY43/AA43,0)</f>
        <v/>
      </c>
      <c r="BB43" s="24" t="n"/>
      <c r="BC43" s="24" t="n"/>
      <c r="BD43" s="24" t="n"/>
      <c r="BE43" s="24">
        <f>IF(BB43&lt;&gt;"",BB43*BD43,0)</f>
        <v/>
      </c>
      <c r="BF43" s="24">
        <f>AV43-BE43</f>
        <v/>
      </c>
      <c r="BG43" s="24">
        <f>BF43*V43</f>
        <v/>
      </c>
      <c r="BH43" s="24">
        <f>BF43</f>
        <v/>
      </c>
      <c r="BI43" s="24">
        <f>IFERROR(BH43/AV43,0)</f>
        <v/>
      </c>
      <c r="BJ43" s="24">
        <f>IFERROR(BH43*Z43/1000,0)</f>
        <v/>
      </c>
      <c r="BK43" s="24">
        <f>BJ43*1.06</f>
        <v/>
      </c>
      <c r="BL43" s="24" t="n"/>
      <c r="BM43" s="24" t="n"/>
    </row>
    <row r="44" ht="34.9" customFormat="1" customHeight="1" s="12">
      <c r="A44" s="159" t="inlineStr">
        <is>
          <t>LVL</t>
        </is>
      </c>
      <c r="B44" s="354" t="n">
        <v>18</v>
      </c>
      <c r="C44" s="354" t="n"/>
      <c r="D44" s="354" t="n"/>
      <c r="E44" s="354" t="n"/>
      <c r="F44" s="354" t="n"/>
      <c r="G44" s="354" t="n"/>
      <c r="H44" s="354" t="n"/>
      <c r="I44" s="354" t="n"/>
      <c r="J44" s="354" t="n"/>
      <c r="K44" s="354" t="n"/>
      <c r="L44" s="354" t="n"/>
      <c r="M44" s="354" t="n"/>
      <c r="N44" s="354" t="n"/>
      <c r="O44" s="354" t="n"/>
      <c r="P44" s="34" t="n"/>
      <c r="Q44" s="24">
        <f>SUM(C44:P44)</f>
        <v/>
      </c>
      <c r="R44" s="24">
        <f>SUM(B44:P44)</f>
        <v/>
      </c>
      <c r="S44" s="58" t="inlineStr">
        <is>
          <t xml:space="preserve"> </t>
        </is>
      </c>
      <c r="T44" s="58" t="inlineStr">
        <is>
          <t xml:space="preserve"> </t>
        </is>
      </c>
      <c r="U44" s="354" t="n"/>
      <c r="V44" s="354" t="n">
        <v>14</v>
      </c>
      <c r="W44" s="356" t="inlineStr">
        <is>
          <t>3-1/2X11-7/8 PSL/GLB</t>
        </is>
      </c>
      <c r="X44" s="34">
        <f>R44*V44</f>
        <v/>
      </c>
      <c r="Y44" s="34" t="n"/>
      <c r="Z44" s="57" t="n">
        <v>13</v>
      </c>
      <c r="AA44" s="14">
        <f>X44*Z44</f>
        <v/>
      </c>
      <c r="AB44" s="14">
        <f>AA44*1.06</f>
        <v/>
      </c>
      <c r="AC44" s="53" t="inlineStr">
        <is>
          <t>60126007
60126015
60126026</t>
        </is>
      </c>
      <c r="AD44" s="34">
        <f>84/14</f>
        <v/>
      </c>
      <c r="AE44" s="34">
        <f>154/14</f>
        <v/>
      </c>
      <c r="AF44" s="34">
        <f>14/14</f>
        <v/>
      </c>
      <c r="AG44" s="34" t="n"/>
      <c r="AH44" s="34" t="n"/>
      <c r="AI44" s="34" t="n"/>
      <c r="AJ44" s="34" t="n"/>
      <c r="AK44" s="34" t="n"/>
      <c r="AL44" s="34" t="n"/>
      <c r="AM44" s="34" t="n"/>
      <c r="AN44" s="34" t="n"/>
      <c r="AO44" s="34" t="n"/>
      <c r="AP44" s="34" t="n"/>
      <c r="AQ44" s="34" t="n"/>
      <c r="AR44" s="34" t="n"/>
      <c r="AS44" s="34" t="n"/>
      <c r="AT44" s="34" t="n"/>
      <c r="AU44" s="34" t="n"/>
      <c r="AV44" s="34">
        <f>SUM(AD44:AP44)</f>
        <v/>
      </c>
      <c r="AW44" s="34">
        <f>AV44*V44</f>
        <v/>
      </c>
      <c r="AX44" s="34" t="n"/>
      <c r="AY44" s="7">
        <f>AW44*Z44</f>
        <v/>
      </c>
      <c r="AZ44" s="60">
        <f>AY44*1.06</f>
        <v/>
      </c>
      <c r="BA44" s="22">
        <f>IFERROR(AY44/AA44,0)</f>
        <v/>
      </c>
      <c r="BB44" s="34" t="n"/>
      <c r="BC44" s="34" t="n"/>
      <c r="BD44" s="34" t="n"/>
      <c r="BE44" s="34">
        <f>IF(BB44&lt;&gt;"",BB44*BD44,0)</f>
        <v/>
      </c>
      <c r="BF44" s="34">
        <f>AV44-BE44</f>
        <v/>
      </c>
      <c r="BG44" s="34">
        <f>BF44*V44</f>
        <v/>
      </c>
      <c r="BH44" s="34">
        <f>BF44</f>
        <v/>
      </c>
      <c r="BI44" s="34">
        <f>IFERROR(BH44/AV44,0)</f>
        <v/>
      </c>
      <c r="BJ44" s="34">
        <f>IFERROR(BH44*Z44/1000,0)</f>
        <v/>
      </c>
      <c r="BK44" s="34">
        <f>BJ44*1.06</f>
        <v/>
      </c>
      <c r="BL44" s="34" t="n"/>
      <c r="BM44" s="34" t="n"/>
    </row>
    <row r="45" ht="23.25" customFormat="1" customHeight="1" s="24">
      <c r="A45" s="81" t="inlineStr">
        <is>
          <t>LVL</t>
        </is>
      </c>
      <c r="B45" s="30" t="n">
        <v>2</v>
      </c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Q45" s="24">
        <f>SUM(C45:P45)</f>
        <v/>
      </c>
      <c r="R45" s="24">
        <f>SUM(B45:P45)</f>
        <v/>
      </c>
      <c r="S45" s="63" t="inlineStr">
        <is>
          <t xml:space="preserve"> </t>
        </is>
      </c>
      <c r="T45" s="63" t="inlineStr">
        <is>
          <t xml:space="preserve"> </t>
        </is>
      </c>
      <c r="U45" s="30" t="n"/>
      <c r="V45" s="30" t="n">
        <v>14</v>
      </c>
      <c r="W45" s="29" t="inlineStr">
        <is>
          <t>3-1/2X14 PSL/GLB</t>
        </is>
      </c>
      <c r="X45" s="24">
        <f>R45*V45</f>
        <v/>
      </c>
      <c r="Z45" s="62" t="n">
        <v>15.49</v>
      </c>
      <c r="AA45" s="7">
        <f>X45*Z45</f>
        <v/>
      </c>
      <c r="AB45" s="7">
        <f>AA45*1.06</f>
        <v/>
      </c>
      <c r="AC45" s="53" t="inlineStr">
        <is>
          <t>60126015
60126026</t>
        </is>
      </c>
      <c r="AE45" s="24">
        <f>14/14</f>
        <v/>
      </c>
      <c r="AF45" s="24">
        <f>14/14</f>
        <v/>
      </c>
      <c r="AV45" s="24">
        <f>SUM(AD45:AP45)</f>
        <v/>
      </c>
      <c r="AW45" s="24">
        <f>AV45*V45</f>
        <v/>
      </c>
      <c r="AY45" s="7">
        <f>AW45*Z45</f>
        <v/>
      </c>
      <c r="AZ45" s="23">
        <f>AY45*1.06</f>
        <v/>
      </c>
      <c r="BA45" s="22">
        <f>IFERROR(AY45/AA45,0)</f>
        <v/>
      </c>
      <c r="BE45">
        <f>IF(BB45&lt;&gt;"",BB45*BD45,0)</f>
        <v/>
      </c>
      <c r="BF45">
        <f>AV45-BE45</f>
        <v/>
      </c>
      <c r="BG45">
        <f>BF45*V45</f>
        <v/>
      </c>
      <c r="BH45">
        <f>BF45</f>
        <v/>
      </c>
      <c r="BI45">
        <f>IFERROR(BH45/AV45,0)</f>
        <v/>
      </c>
      <c r="BJ45">
        <f>IFERROR(BH45*Z45/1000,0)</f>
        <v/>
      </c>
      <c r="BK45">
        <f>BJ45*1.06</f>
        <v/>
      </c>
    </row>
    <row r="46" ht="13.15" customFormat="1" customHeight="1" s="152">
      <c r="A46" s="150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S46" s="160" t="n"/>
      <c r="T46" s="160" t="n"/>
      <c r="U46" s="151" t="n"/>
      <c r="V46" s="151" t="n"/>
      <c r="W46" s="150" t="n"/>
      <c r="Z46" s="154" t="n"/>
      <c r="AA46" s="155" t="n"/>
      <c r="AB46" s="155" t="n"/>
      <c r="AZ46" s="156" t="n"/>
      <c r="BA46" s="157" t="n"/>
    </row>
    <row r="47" ht="11.65" customFormat="1" customHeight="1" s="24">
      <c r="A47" s="42" t="inlineStr">
        <is>
          <t>Each</t>
        </is>
      </c>
      <c r="B47" s="30" t="n">
        <v>515</v>
      </c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Q47" s="24">
        <f>SUM(C47:P47)</f>
        <v/>
      </c>
      <c r="R47" s="24">
        <f>SUM(B47:P47)</f>
        <v/>
      </c>
      <c r="S47" s="63" t="inlineStr">
        <is>
          <t xml:space="preserve"> </t>
        </is>
      </c>
      <c r="T47" s="63" t="inlineStr">
        <is>
          <t xml:space="preserve"> </t>
        </is>
      </c>
      <c r="W47" s="29" t="inlineStr">
        <is>
          <t>SUBFLOOR ADHESIVE</t>
        </is>
      </c>
      <c r="X47" s="24">
        <f>R47*V47</f>
        <v/>
      </c>
      <c r="Z47" s="62" t="n">
        <v>5.5</v>
      </c>
      <c r="AA47" s="7">
        <f>R47*Z47</f>
        <v/>
      </c>
      <c r="AB47" s="27">
        <f>AA47*1.06</f>
        <v/>
      </c>
      <c r="AC47" s="24" t="n">
        <v>60126008</v>
      </c>
      <c r="AD47" s="103">
        <f>516</f>
        <v/>
      </c>
      <c r="AV47" s="24">
        <f>SUM(AD47:AP47)</f>
        <v/>
      </c>
      <c r="AW47">
        <f>AV47*V47</f>
        <v/>
      </c>
      <c r="AY47" s="7">
        <f>AV47*Z47</f>
        <v/>
      </c>
      <c r="AZ47" s="23">
        <f>AY47*1.06</f>
        <v/>
      </c>
      <c r="BA47" s="22">
        <f>IFERROR(AY47/AA47,0)</f>
        <v/>
      </c>
      <c r="BE47">
        <f>IF(BB47&lt;&gt;"",BB47*BD47,0)</f>
        <v/>
      </c>
      <c r="BF47">
        <f>AV47-BE47</f>
        <v/>
      </c>
      <c r="BG47">
        <f>BF47*V47</f>
        <v/>
      </c>
      <c r="BH47">
        <f>BF47</f>
        <v/>
      </c>
      <c r="BI47">
        <f>IFERROR(BH47/AV47,0)</f>
        <v/>
      </c>
      <c r="BJ47">
        <f>IFERROR(BH47*Z47/1000,0)</f>
        <v/>
      </c>
      <c r="BK47">
        <f>BJ47*1.06</f>
        <v/>
      </c>
    </row>
    <row r="48" ht="11.65" customFormat="1" customHeight="1" s="12">
      <c r="A48" s="64" t="inlineStr">
        <is>
          <t>Each</t>
        </is>
      </c>
      <c r="B48" s="355" t="n">
        <v>49</v>
      </c>
      <c r="C48" s="355" t="n"/>
      <c r="D48" s="355" t="n"/>
      <c r="E48" s="355" t="n"/>
      <c r="F48" s="355" t="n"/>
      <c r="G48" s="355" t="n"/>
      <c r="H48" s="355" t="n"/>
      <c r="I48" s="355" t="n"/>
      <c r="J48" s="355" t="n"/>
      <c r="K48" s="355" t="n"/>
      <c r="L48" s="355" t="n"/>
      <c r="M48" s="355" t="n"/>
      <c r="N48" s="355" t="n"/>
      <c r="O48" s="355" t="n"/>
      <c r="P48" s="65" t="n"/>
      <c r="Q48" s="24">
        <f>SUM(C48:P48)</f>
        <v/>
      </c>
      <c r="R48" s="24">
        <f>SUM(B48:P48)</f>
        <v/>
      </c>
      <c r="S48" s="70" t="inlineStr">
        <is>
          <t xml:space="preserve"> </t>
        </is>
      </c>
      <c r="T48" s="70" t="inlineStr">
        <is>
          <t xml:space="preserve"> </t>
        </is>
      </c>
      <c r="U48" s="65" t="n"/>
      <c r="V48" s="65" t="n"/>
      <c r="W48" s="357" t="inlineStr">
        <is>
          <t>4" Sill Sealer</t>
        </is>
      </c>
      <c r="X48" s="65">
        <f>R48*V48</f>
        <v/>
      </c>
      <c r="Y48" s="65" t="n"/>
      <c r="Z48" s="69" t="n">
        <v>7.25</v>
      </c>
      <c r="AA48" s="68">
        <f>R48*Z48</f>
        <v/>
      </c>
      <c r="AB48" s="68">
        <f>AA48*1.06</f>
        <v/>
      </c>
      <c r="AC48" s="65" t="n">
        <v>60126008</v>
      </c>
      <c r="AD48" s="65">
        <f>49</f>
        <v/>
      </c>
      <c r="AE48" s="65" t="n"/>
      <c r="AF48" s="65" t="n"/>
      <c r="AG48" s="65" t="n"/>
      <c r="AH48" s="65" t="n"/>
      <c r="AI48" s="65" t="n"/>
      <c r="AJ48" s="65" t="n"/>
      <c r="AK48" s="65" t="n"/>
      <c r="AL48" s="65" t="n"/>
      <c r="AM48" s="65" t="n"/>
      <c r="AN48" s="65" t="n"/>
      <c r="AO48" s="65" t="n"/>
      <c r="AP48" s="65" t="n"/>
      <c r="AQ48" s="65" t="n"/>
      <c r="AR48" s="65" t="n"/>
      <c r="AS48" s="65" t="n"/>
      <c r="AT48" s="65" t="n"/>
      <c r="AU48" s="65" t="n"/>
      <c r="AV48" s="65">
        <f>SUM(AD48:AP48)</f>
        <v/>
      </c>
      <c r="AW48" s="65">
        <f>AV48*V48</f>
        <v/>
      </c>
      <c r="AX48" s="65" t="n"/>
      <c r="AY48" s="7">
        <f>AV48*Z48</f>
        <v/>
      </c>
      <c r="AZ48" s="67">
        <f>AY48*1.06</f>
        <v/>
      </c>
      <c r="BA48" s="22">
        <f>IFERROR(AY48/AA48,0)</f>
        <v/>
      </c>
      <c r="BB48" s="65" t="n"/>
      <c r="BC48" s="65" t="n"/>
      <c r="BD48" s="65" t="n"/>
      <c r="BE48" s="65">
        <f>IF(BB48&lt;&gt;"",BB48*BD48,0)</f>
        <v/>
      </c>
      <c r="BF48" s="65">
        <f>AV48-BE48</f>
        <v/>
      </c>
      <c r="BG48" s="65">
        <f>BF48*V48</f>
        <v/>
      </c>
      <c r="BH48" s="65">
        <f>BF48</f>
        <v/>
      </c>
      <c r="BI48" s="65">
        <f>IFERROR(BH48/AV48,0)</f>
        <v/>
      </c>
      <c r="BJ48" s="65">
        <f>IFERROR(BH48*Z48/1000,0)</f>
        <v/>
      </c>
      <c r="BK48" s="65">
        <f>BJ48*1.06</f>
        <v/>
      </c>
      <c r="BL48" s="65" t="n"/>
      <c r="BM48" s="65" t="n"/>
    </row>
    <row r="49" ht="11.65" customFormat="1" customHeight="1" s="12">
      <c r="A49" s="42" t="inlineStr">
        <is>
          <t>Each</t>
        </is>
      </c>
      <c r="B49" s="30" t="n">
        <v>58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24" t="n"/>
      <c r="Q49" s="24">
        <f>SUM(C49:P49)</f>
        <v/>
      </c>
      <c r="R49" s="24">
        <f>SUM(B49:P49)</f>
        <v/>
      </c>
      <c r="S49" s="63" t="inlineStr">
        <is>
          <t xml:space="preserve"> </t>
        </is>
      </c>
      <c r="T49" s="63" t="inlineStr">
        <is>
          <t xml:space="preserve"> </t>
        </is>
      </c>
      <c r="U49" s="24" t="n"/>
      <c r="V49" s="24" t="n"/>
      <c r="W49" s="29" t="inlineStr">
        <is>
          <t>6" Sill Sealer</t>
        </is>
      </c>
      <c r="X49" s="24">
        <f>R49*V49</f>
        <v/>
      </c>
      <c r="Y49" s="24" t="n"/>
      <c r="Z49" s="62" t="n">
        <v>7.25</v>
      </c>
      <c r="AA49" s="7">
        <f>R49*Z49</f>
        <v/>
      </c>
      <c r="AB49" s="7">
        <f>AA49*1.06</f>
        <v/>
      </c>
      <c r="AC49" s="65" t="n">
        <v>60126008</v>
      </c>
      <c r="AD49" s="24">
        <f>58</f>
        <v/>
      </c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>
        <f>SUM(AD49:AP49)</f>
        <v/>
      </c>
      <c r="AW49" s="24">
        <f>AV49*V49</f>
        <v/>
      </c>
      <c r="AX49" s="24" t="n"/>
      <c r="AY49" s="7">
        <f>AV49*Z49</f>
        <v/>
      </c>
      <c r="AZ49" s="23">
        <f>AY49*1.06</f>
        <v/>
      </c>
      <c r="BA49" s="22">
        <f>IFERROR(AY49/AA49,0)</f>
        <v/>
      </c>
      <c r="BB49" s="24" t="n"/>
      <c r="BC49" s="24" t="n"/>
      <c r="BD49" s="24" t="n"/>
      <c r="BE49" s="24">
        <f>IF(BB49&lt;&gt;"",BB49*BD49,0)</f>
        <v/>
      </c>
      <c r="BF49" s="24">
        <f>AV49-BE49</f>
        <v/>
      </c>
      <c r="BG49" s="24">
        <f>BF49*V49</f>
        <v/>
      </c>
      <c r="BH49" s="24">
        <f>BF49</f>
        <v/>
      </c>
      <c r="BI49" s="24">
        <f>IFERROR(BH49/AV49,0)</f>
        <v/>
      </c>
      <c r="BJ49" s="24">
        <f>IFERROR(BH49*Z49/1000,0)</f>
        <v/>
      </c>
      <c r="BK49" s="24">
        <f>BJ49*1.06</f>
        <v/>
      </c>
      <c r="BL49" s="24" t="n"/>
      <c r="BM49" s="24" t="n"/>
    </row>
    <row r="50" ht="11.65" customFormat="1" customHeight="1" s="12">
      <c r="A50" s="42" t="inlineStr">
        <is>
          <t>Each</t>
        </is>
      </c>
      <c r="B50" s="30" t="n">
        <v>9</v>
      </c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24" t="n"/>
      <c r="Q50" s="24">
        <f>SUM(C50:P50)</f>
        <v/>
      </c>
      <c r="R50" s="24">
        <f>SUM(B50:P50)</f>
        <v/>
      </c>
      <c r="S50" s="63" t="inlineStr">
        <is>
          <t xml:space="preserve"> </t>
        </is>
      </c>
      <c r="T50" s="63" t="inlineStr">
        <is>
          <t xml:space="preserve"> </t>
        </is>
      </c>
      <c r="U50" s="24" t="n"/>
      <c r="V50" s="24" t="n"/>
      <c r="W50" s="29" t="inlineStr">
        <is>
          <t>8" Sill Sealer</t>
        </is>
      </c>
      <c r="X50" s="24">
        <f>R50*V50</f>
        <v/>
      </c>
      <c r="Y50" s="24" t="n"/>
      <c r="Z50" s="62" t="n">
        <v>7.25</v>
      </c>
      <c r="AA50" s="7">
        <f>R50*Z50</f>
        <v/>
      </c>
      <c r="AB50" s="7">
        <f>AA50*1.06</f>
        <v/>
      </c>
      <c r="AC50" s="65" t="n">
        <v>60126008</v>
      </c>
      <c r="AD50" s="24">
        <f>16</f>
        <v/>
      </c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>
        <f>SUM(AD50:AP50)</f>
        <v/>
      </c>
      <c r="AW50" s="24">
        <f>AV50*V50</f>
        <v/>
      </c>
      <c r="AX50" s="24" t="n"/>
      <c r="AY50" s="7">
        <f>AV50*Z50</f>
        <v/>
      </c>
      <c r="AZ50" s="23">
        <f>AY50*1.06</f>
        <v/>
      </c>
      <c r="BA50" s="22">
        <f>IFERROR(AY50/AA50,0)</f>
        <v/>
      </c>
      <c r="BB50" s="24" t="n"/>
      <c r="BC50" s="24" t="n"/>
      <c r="BD50" s="24" t="n"/>
      <c r="BE50" s="24">
        <f>IF(BB50&lt;&gt;"",BB50*BD50,0)</f>
        <v/>
      </c>
      <c r="BF50" s="24">
        <f>AV50-BE50</f>
        <v/>
      </c>
      <c r="BG50" s="24">
        <f>BF50*V50</f>
        <v/>
      </c>
      <c r="BH50" s="24">
        <f>BF50</f>
        <v/>
      </c>
      <c r="BI50" s="24">
        <f>IFERROR(BH50/AV50,0)</f>
        <v/>
      </c>
      <c r="BJ50" s="24">
        <f>IFERROR(BH50*Z50/1000,0)</f>
        <v/>
      </c>
      <c r="BK50" s="24">
        <f>BJ50*1.06</f>
        <v/>
      </c>
      <c r="BL50" s="24" t="n"/>
      <c r="BM50" s="24" t="n"/>
    </row>
    <row r="51" ht="11.65" customFormat="1" customHeight="1" s="12">
      <c r="A51" s="42" t="inlineStr">
        <is>
          <t>Each</t>
        </is>
      </c>
      <c r="B51" s="30" t="n">
        <v>60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24" t="n"/>
      <c r="Q51" s="24">
        <f>SUM(C51:P51)</f>
        <v/>
      </c>
      <c r="R51" s="24">
        <f>SUM(B51:P51)</f>
        <v/>
      </c>
      <c r="S51" s="63" t="inlineStr">
        <is>
          <t xml:space="preserve"> </t>
        </is>
      </c>
      <c r="T51" s="63" t="inlineStr">
        <is>
          <t xml:space="preserve"> </t>
        </is>
      </c>
      <c r="U51" s="24" t="n"/>
      <c r="V51" s="24" t="n"/>
      <c r="W51" s="29" t="inlineStr">
        <is>
          <t>6" ZIP TAPE</t>
        </is>
      </c>
      <c r="X51" s="24">
        <f>R51*V51</f>
        <v/>
      </c>
      <c r="Y51" s="24" t="n"/>
      <c r="Z51" s="62" t="n">
        <v>42</v>
      </c>
      <c r="AA51" s="7">
        <f>R51*Z51</f>
        <v/>
      </c>
      <c r="AB51" s="7">
        <f>AA51*1.06</f>
        <v/>
      </c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>
        <f>SUM(AD51:AP51)</f>
        <v/>
      </c>
      <c r="AW51" s="24">
        <f>AV51*V51</f>
        <v/>
      </c>
      <c r="AX51" s="24" t="n"/>
      <c r="AY51" s="7">
        <f>AV51*Z51</f>
        <v/>
      </c>
      <c r="AZ51" s="23">
        <f>AY51*1.06</f>
        <v/>
      </c>
      <c r="BA51" s="22">
        <f>IFERROR(AY51/AA51,0)</f>
        <v/>
      </c>
      <c r="BB51" s="24" t="n"/>
      <c r="BC51" s="24" t="n"/>
      <c r="BD51" s="24" t="n"/>
      <c r="BE51" s="24">
        <f>IF(BB51&lt;&gt;"",BB51*BD51,0)</f>
        <v/>
      </c>
      <c r="BF51" s="24">
        <f>AV51-BE51</f>
        <v/>
      </c>
      <c r="BG51" s="24">
        <f>BF51*V51</f>
        <v/>
      </c>
      <c r="BH51" s="24">
        <f>BF51</f>
        <v/>
      </c>
      <c r="BI51" s="24">
        <f>IFERROR(BH51/AV51,0)</f>
        <v/>
      </c>
      <c r="BJ51" s="24">
        <f>IFERROR(BH51*Z51/1000,0)</f>
        <v/>
      </c>
      <c r="BK51" s="24">
        <f>BJ51*1.06</f>
        <v/>
      </c>
      <c r="BL51" s="24" t="n"/>
      <c r="BM51" s="24" t="n"/>
    </row>
    <row r="52" ht="11.65" customFormat="1" customHeight="1" s="12">
      <c r="A52" s="42" t="inlineStr">
        <is>
          <t>Each</t>
        </is>
      </c>
      <c r="B52" s="30" t="n">
        <v>384</v>
      </c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24" t="n"/>
      <c r="Q52" s="24">
        <f>SUM(C52:P52)</f>
        <v/>
      </c>
      <c r="R52" s="24">
        <f>SUM(B52:P52)</f>
        <v/>
      </c>
      <c r="S52" s="63" t="inlineStr">
        <is>
          <t xml:space="preserve"> </t>
        </is>
      </c>
      <c r="T52" s="63" t="inlineStr">
        <is>
          <t xml:space="preserve"> </t>
        </is>
      </c>
      <c r="U52" s="24" t="n"/>
      <c r="V52" s="24" t="n"/>
      <c r="W52" s="29" t="inlineStr">
        <is>
          <t>4" SEAM TAPE</t>
        </is>
      </c>
      <c r="X52" s="24">
        <f>R52*V52</f>
        <v/>
      </c>
      <c r="Y52" s="24" t="n"/>
      <c r="Z52" s="62" t="n">
        <v>26</v>
      </c>
      <c r="AA52" s="7">
        <f>R52*Z52</f>
        <v/>
      </c>
      <c r="AB52" s="7">
        <f>AA52*1.06</f>
        <v/>
      </c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>
        <f>SUM(AD52:AP52)</f>
        <v/>
      </c>
      <c r="AW52" s="24">
        <f>AV52*V52</f>
        <v/>
      </c>
      <c r="AX52" s="24" t="n"/>
      <c r="AY52" s="7">
        <f>AV52*Z52</f>
        <v/>
      </c>
      <c r="AZ52" s="23">
        <f>AY52*1.06</f>
        <v/>
      </c>
      <c r="BA52" s="22">
        <f>IFERROR(AY52/AA52,0)</f>
        <v/>
      </c>
      <c r="BB52" s="24" t="n"/>
      <c r="BC52" s="24" t="n"/>
      <c r="BD52" s="24" t="n"/>
      <c r="BE52" s="24">
        <f>IF(BB52&lt;&gt;"",BB52*BD52,0)</f>
        <v/>
      </c>
      <c r="BF52" s="24">
        <f>AV52-BE52</f>
        <v/>
      </c>
      <c r="BG52" s="24">
        <f>BF52*V52</f>
        <v/>
      </c>
      <c r="BH52" s="24">
        <f>BF52</f>
        <v/>
      </c>
      <c r="BI52" s="24">
        <f>IFERROR(BH52/AV52,0)</f>
        <v/>
      </c>
      <c r="BJ52" s="24">
        <f>IFERROR(BH52*Z52/1000,0)</f>
        <v/>
      </c>
      <c r="BK52" s="24">
        <f>BJ52*1.06</f>
        <v/>
      </c>
      <c r="BL52" s="24" t="n"/>
      <c r="BM52" s="24" t="n"/>
    </row>
    <row r="53" ht="11.65" customFormat="1" customHeight="1" s="12">
      <c r="A53" s="61" t="inlineStr">
        <is>
          <t>Each</t>
        </is>
      </c>
      <c r="B53" s="354" t="n">
        <v>28</v>
      </c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/>
      <c r="L53" s="354" t="n"/>
      <c r="M53" s="354" t="n"/>
      <c r="N53" s="354" t="n"/>
      <c r="O53" s="354" t="n"/>
      <c r="P53" s="34" t="n"/>
      <c r="Q53" s="24">
        <f>SUM(C53:P53)</f>
        <v/>
      </c>
      <c r="R53" s="24">
        <f>SUM(B53:P53)</f>
        <v/>
      </c>
      <c r="S53" s="58" t="inlineStr">
        <is>
          <t xml:space="preserve"> </t>
        </is>
      </c>
      <c r="T53" s="58" t="inlineStr">
        <is>
          <t xml:space="preserve"> </t>
        </is>
      </c>
      <c r="U53" s="34" t="n"/>
      <c r="V53" s="34" t="n"/>
      <c r="W53" s="356" t="inlineStr">
        <is>
          <t>6" CORNER FLASHING ZIP</t>
        </is>
      </c>
      <c r="X53" s="34">
        <f>R53*V53</f>
        <v/>
      </c>
      <c r="Y53" s="34" t="n"/>
      <c r="Z53" s="57" t="n">
        <v>35</v>
      </c>
      <c r="AA53" s="14">
        <f>R53*Z53</f>
        <v/>
      </c>
      <c r="AB53" s="14">
        <f>AA53*1.06</f>
        <v/>
      </c>
      <c r="AC53" s="34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34" t="n"/>
      <c r="AU53" s="34" t="n"/>
      <c r="AV53" s="34">
        <f>SUM(AD53:AP53)</f>
        <v/>
      </c>
      <c r="AW53" s="34">
        <f>AV53*V53</f>
        <v/>
      </c>
      <c r="AX53" s="34" t="n"/>
      <c r="AY53" s="7">
        <f>AV53*Z53</f>
        <v/>
      </c>
      <c r="AZ53" s="60">
        <f>AY53*1.06</f>
        <v/>
      </c>
      <c r="BA53" s="22">
        <f>IFERROR(AY53/AA53,0)</f>
        <v/>
      </c>
      <c r="BB53" s="34" t="n"/>
      <c r="BC53" s="34" t="n"/>
      <c r="BD53" s="34" t="n"/>
      <c r="BE53" s="34">
        <f>IF(BB53&lt;&gt;"",BB53*BD53,0)</f>
        <v/>
      </c>
      <c r="BF53" s="34">
        <f>AV53-BE53</f>
        <v/>
      </c>
      <c r="BG53" s="34">
        <f>BF53*V53</f>
        <v/>
      </c>
      <c r="BH53" s="34">
        <f>BF53</f>
        <v/>
      </c>
      <c r="BI53" s="34">
        <f>IFERROR(BH53/AV53,0)</f>
        <v/>
      </c>
      <c r="BJ53" s="34">
        <f>IFERROR(BH53*Z53/1000,0)</f>
        <v/>
      </c>
      <c r="BK53" s="34">
        <f>BJ53*1.06</f>
        <v/>
      </c>
      <c r="BL53" s="34" t="n"/>
      <c r="BM53" s="34" t="n"/>
    </row>
    <row r="54" ht="11.65" customFormat="1" customHeight="1" s="24">
      <c r="A54" s="42" t="inlineStr">
        <is>
          <t>Each</t>
        </is>
      </c>
      <c r="B54" s="30" t="n">
        <v>105</v>
      </c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Q54" s="24">
        <f>SUM(C54:P54)</f>
        <v/>
      </c>
      <c r="R54" s="24">
        <f>SUM(B54:P54)</f>
        <v/>
      </c>
      <c r="S54" s="63" t="inlineStr">
        <is>
          <t xml:space="preserve"> </t>
        </is>
      </c>
      <c r="T54" s="63" t="inlineStr">
        <is>
          <t xml:space="preserve"> </t>
        </is>
      </c>
      <c r="W54" s="29" t="inlineStr">
        <is>
          <t>9" CORNER FLASHING ZIP</t>
        </is>
      </c>
      <c r="X54" s="24">
        <f>R54*V54</f>
        <v/>
      </c>
      <c r="Z54" s="62" t="n">
        <v>47</v>
      </c>
      <c r="AA54" s="7">
        <f>R54*Z54</f>
        <v/>
      </c>
      <c r="AB54" s="7">
        <f>AA54*1.06</f>
        <v/>
      </c>
      <c r="AV54" s="24">
        <f>SUM(AD54:AP54)</f>
        <v/>
      </c>
      <c r="AW54">
        <f>AV54*V54</f>
        <v/>
      </c>
      <c r="AY54" s="7">
        <f>AV54*Z54</f>
        <v/>
      </c>
      <c r="AZ54" s="23">
        <f>AY54*1.06</f>
        <v/>
      </c>
      <c r="BA54" s="22">
        <f>IFERROR(AY54/AA54,0)</f>
        <v/>
      </c>
      <c r="BE54">
        <f>IF(BB54&lt;&gt;"",BB54*BD54,0)</f>
        <v/>
      </c>
      <c r="BF54">
        <f>AV54-BE54</f>
        <v/>
      </c>
      <c r="BG54">
        <f>BF54*V54</f>
        <v/>
      </c>
      <c r="BH54">
        <f>BF54</f>
        <v/>
      </c>
      <c r="BI54">
        <f>IFERROR(BH54/AV54,0)</f>
        <v/>
      </c>
      <c r="BJ54">
        <f>IFERROR(BH54*Z54/1000,0)</f>
        <v/>
      </c>
      <c r="BK54">
        <f>BJ54*1.06</f>
        <v/>
      </c>
    </row>
    <row r="55" ht="11.65" customFormat="1" customHeight="1" s="12">
      <c r="A55" s="78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24" t="n"/>
      <c r="Q55" s="24" t="n"/>
      <c r="R55" s="24" t="n"/>
      <c r="S55" s="30" t="n"/>
      <c r="T55" s="29" t="n"/>
      <c r="U55" s="24" t="n"/>
      <c r="V55" s="24" t="n"/>
      <c r="W55" s="29" t="inlineStr">
        <is>
          <t>Devilery Charges</t>
        </is>
      </c>
      <c r="X55" s="24" t="n"/>
      <c r="Y55" s="24" t="n"/>
      <c r="Z55" s="62" t="n"/>
      <c r="AA55" s="7" t="n">
        <v>800</v>
      </c>
      <c r="AB55" s="7">
        <f>AA55*1.06</f>
        <v/>
      </c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>
        <f>SUM(AD55:AU55)</f>
        <v/>
      </c>
      <c r="AW55" s="24" t="n"/>
      <c r="AX55" s="24">
        <f>AV55*S55*U55</f>
        <v/>
      </c>
      <c r="AY55" s="7" t="n">
        <v>800</v>
      </c>
      <c r="AZ55" s="23">
        <f>AY55*1.06</f>
        <v/>
      </c>
      <c r="BA55" s="22">
        <f>IFERROR(AY55/AA55,0)</f>
        <v/>
      </c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</row>
    <row r="56" ht="11.65" customFormat="1" customHeight="1" s="163">
      <c r="A56" s="161" t="n"/>
      <c r="B56" s="162" t="n"/>
      <c r="C56" s="162" t="n"/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S56" s="164" t="n"/>
      <c r="T56" s="164" t="n"/>
      <c r="W56" s="161" t="n"/>
      <c r="Z56" s="165" t="n"/>
      <c r="AA56" s="125" t="n"/>
      <c r="AB56" s="125" t="n"/>
      <c r="AZ56" s="166" t="n"/>
      <c r="BA56" s="167" t="n"/>
    </row>
    <row r="57" ht="11.65" customFormat="1" customHeight="1" s="24">
      <c r="A57" s="78" t="inlineStr">
        <is>
          <t>Panels</t>
        </is>
      </c>
      <c r="B57" s="30" t="n">
        <v>1904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Q57" s="24">
        <f>SUM(C57:P57)</f>
        <v/>
      </c>
      <c r="R57" s="24">
        <f>SUM(B57:P57)</f>
        <v/>
      </c>
      <c r="S57" s="30" t="n">
        <v>4</v>
      </c>
      <c r="T57" s="29" t="inlineStr">
        <is>
          <t>x</t>
        </is>
      </c>
      <c r="U57" s="24" t="n">
        <v>8</v>
      </c>
      <c r="W57" s="29" t="inlineStr">
        <is>
          <t>7/16" ZIP</t>
        </is>
      </c>
      <c r="Y57" s="24">
        <f>R57*S57*U57</f>
        <v/>
      </c>
      <c r="Z57" s="62" t="n">
        <v>595</v>
      </c>
      <c r="AA57" s="7">
        <f>(Y57*Z57)/1000</f>
        <v/>
      </c>
      <c r="AB57" s="143">
        <f>AA57*1.06</f>
        <v/>
      </c>
      <c r="AH57" s="34" t="n"/>
      <c r="AI57" s="34" t="n"/>
      <c r="AJ57" s="34" t="n"/>
      <c r="AK57" s="34" t="n"/>
      <c r="AL57" s="34" t="n"/>
      <c r="AM57" s="34" t="n"/>
      <c r="AV57" s="24">
        <f>SUM(AD57:AP57)</f>
        <v/>
      </c>
      <c r="AW57">
        <f>AV57*V57</f>
        <v/>
      </c>
      <c r="AX57" s="24">
        <f>AV57*S57*U57</f>
        <v/>
      </c>
      <c r="AY57" s="7">
        <f>AX57*Z57/1000</f>
        <v/>
      </c>
      <c r="AZ57" s="23">
        <f>AY57*1.06</f>
        <v/>
      </c>
      <c r="BA57" s="22">
        <f>IFERROR(AY57/AA57,0)</f>
        <v/>
      </c>
      <c r="BE57">
        <f>IF(BB57&lt;&gt;"",BB57*BD57,0)</f>
        <v/>
      </c>
      <c r="BF57">
        <f>AV57-BE57</f>
        <v/>
      </c>
      <c r="BG57">
        <f>BF57*V57</f>
        <v/>
      </c>
      <c r="BH57">
        <f>BF57*S57*U57</f>
        <v/>
      </c>
      <c r="BI57">
        <f>IFERROR(BH57/AV57,0)</f>
        <v/>
      </c>
      <c r="BJ57">
        <f>IFERROR(BH57*Z57/1000,0)</f>
        <v/>
      </c>
      <c r="BK57">
        <f>BJ57*1.06</f>
        <v/>
      </c>
    </row>
    <row r="58" ht="23.25" customFormat="1" customHeight="1" s="12">
      <c r="A58" s="93" t="inlineStr">
        <is>
          <t>Panels</t>
        </is>
      </c>
      <c r="B58" s="355" t="n">
        <v>1036</v>
      </c>
      <c r="C58" s="355" t="n">
        <v>-981</v>
      </c>
      <c r="D58" s="355" t="n"/>
      <c r="E58" s="355" t="n"/>
      <c r="F58" s="355" t="n"/>
      <c r="G58" s="355" t="n"/>
      <c r="H58" s="355" t="n"/>
      <c r="I58" s="355" t="n"/>
      <c r="J58" s="355" t="n"/>
      <c r="K58" s="355" t="n"/>
      <c r="L58" s="355" t="n"/>
      <c r="M58" s="355" t="n"/>
      <c r="N58" s="355" t="n"/>
      <c r="O58" s="355" t="n"/>
      <c r="P58" s="65" t="n"/>
      <c r="Q58" s="24">
        <f>SUM(C58:P58)</f>
        <v/>
      </c>
      <c r="R58" s="24">
        <f>SUM(B58:P58)</f>
        <v/>
      </c>
      <c r="S58" s="355" t="n">
        <v>4</v>
      </c>
      <c r="T58" s="357" t="inlineStr">
        <is>
          <t>x</t>
        </is>
      </c>
      <c r="U58" s="65" t="n">
        <v>8</v>
      </c>
      <c r="V58" s="65" t="n"/>
      <c r="W58" s="357" t="inlineStr">
        <is>
          <t>15/32" OSB</t>
        </is>
      </c>
      <c r="X58" s="65" t="n"/>
      <c r="Y58" s="65">
        <f>R58*S58*U58</f>
        <v/>
      </c>
      <c r="Z58" s="69" t="n">
        <v>395</v>
      </c>
      <c r="AA58" s="68">
        <f>(Y58*Z58)/1000</f>
        <v/>
      </c>
      <c r="AB58" s="168">
        <f>AA58*1.06</f>
        <v/>
      </c>
      <c r="AC58" s="56" t="inlineStr">
        <is>
          <t>60126003
60126013</t>
        </is>
      </c>
      <c r="AD58" s="105">
        <f>7*70+470</f>
        <v/>
      </c>
      <c r="AE58" s="65" t="n"/>
      <c r="AF58" s="65" t="n"/>
      <c r="AG58" s="76" t="n"/>
      <c r="AH58" s="24" t="n"/>
      <c r="AI58" s="24" t="n"/>
      <c r="AJ58" s="24" t="n"/>
      <c r="AK58" s="24" t="n"/>
      <c r="AL58" s="24" t="n"/>
      <c r="AM58" s="24" t="n"/>
      <c r="AN58" s="116" t="n"/>
      <c r="AO58" s="65" t="n"/>
      <c r="AP58" s="65" t="n"/>
      <c r="AQ58" s="65" t="n"/>
      <c r="AR58" s="65" t="n"/>
      <c r="AS58" s="65" t="n"/>
      <c r="AT58" s="65" t="n"/>
      <c r="AU58" s="65" t="n"/>
      <c r="AV58" s="24">
        <f>SUM(AD58:AP58)</f>
        <v/>
      </c>
      <c r="AW58" s="65">
        <f>AV58*V58</f>
        <v/>
      </c>
      <c r="AX58" s="65">
        <f>AV58*S58*U58</f>
        <v/>
      </c>
      <c r="AY58" s="7">
        <f>AX58*Z58/1000</f>
        <v/>
      </c>
      <c r="AZ58" s="67">
        <f>AY58*1.06</f>
        <v/>
      </c>
      <c r="BA58" s="22">
        <f>IFERROR(AY58/AA58,0)</f>
        <v/>
      </c>
      <c r="BB58" s="65" t="n">
        <v>6</v>
      </c>
      <c r="BC58" s="65" t="n"/>
      <c r="BD58" s="65" t="n">
        <v>70</v>
      </c>
      <c r="BE58" s="65">
        <f>IF(BB58&lt;&gt;"",BB58*BD58,0)</f>
        <v/>
      </c>
      <c r="BF58" s="65">
        <f>AV58-BE58</f>
        <v/>
      </c>
      <c r="BG58" s="65">
        <f>BF58*V58</f>
        <v/>
      </c>
      <c r="BH58" s="65">
        <f>BF58*S58*U58</f>
        <v/>
      </c>
      <c r="BI58" s="66">
        <f>IFERROR(BH58/AV58,0)</f>
        <v/>
      </c>
      <c r="BJ58" s="68">
        <f>IFERROR(BH58*Z58/1000,0)</f>
        <v/>
      </c>
      <c r="BK58" s="68">
        <f>BJ58*1.06</f>
        <v/>
      </c>
      <c r="BL58" s="65" t="n"/>
      <c r="BM58" s="65" t="n"/>
    </row>
    <row r="59" ht="11.65" customFormat="1" customHeight="1" s="12">
      <c r="A59" s="78" t="inlineStr">
        <is>
          <t>Panels</t>
        </is>
      </c>
      <c r="B59" s="30" t="n">
        <v>497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24" t="n"/>
      <c r="Q59" s="24">
        <f>SUM(C59:P59)</f>
        <v/>
      </c>
      <c r="R59" s="24">
        <f>SUM(B59:P59)</f>
        <v/>
      </c>
      <c r="S59" s="30" t="n">
        <v>4</v>
      </c>
      <c r="T59" s="29" t="inlineStr">
        <is>
          <t>x</t>
        </is>
      </c>
      <c r="U59" s="24" t="n">
        <v>8</v>
      </c>
      <c r="V59" s="24" t="n"/>
      <c r="W59" s="29" t="inlineStr">
        <is>
          <t>15/32" PLY</t>
        </is>
      </c>
      <c r="X59" s="24" t="n"/>
      <c r="Y59" s="65">
        <f>R59*S59*U59</f>
        <v/>
      </c>
      <c r="Z59" s="69" t="n">
        <v>395</v>
      </c>
      <c r="AA59" s="68">
        <f>(Y59*Z59)/1000</f>
        <v/>
      </c>
      <c r="AB59" s="169">
        <f>AA59*1.06</f>
        <v/>
      </c>
      <c r="AC59" s="24" t="n"/>
      <c r="AD59" s="24" t="n"/>
      <c r="AE59" s="103" t="n"/>
      <c r="AF59" s="24" t="n"/>
      <c r="AG59" s="74" t="n"/>
      <c r="AH59" s="24" t="n"/>
      <c r="AI59" s="24" t="n"/>
      <c r="AJ59" s="24" t="n"/>
      <c r="AK59" s="24" t="n"/>
      <c r="AL59" s="24" t="n"/>
      <c r="AM59" s="24" t="n"/>
      <c r="AN59" s="103" t="n"/>
      <c r="AO59" s="24" t="n"/>
      <c r="AP59" s="24" t="n"/>
      <c r="AQ59" s="24" t="n"/>
      <c r="AR59" s="24" t="n"/>
      <c r="AS59" s="24" t="n"/>
      <c r="AT59" s="24" t="n"/>
      <c r="AU59" s="24" t="n"/>
      <c r="AV59" s="24">
        <f>SUM(AD59:AP59)</f>
        <v/>
      </c>
      <c r="AW59" s="24">
        <f>AV59*V59</f>
        <v/>
      </c>
      <c r="AX59" s="24">
        <f>AV59*S59*U59</f>
        <v/>
      </c>
      <c r="AY59" s="7">
        <f>AX59*Z59/1000</f>
        <v/>
      </c>
      <c r="AZ59" s="23">
        <f>AY59*1.06</f>
        <v/>
      </c>
      <c r="BA59" s="22">
        <f>IFERROR(AY59/AA59,0)</f>
        <v/>
      </c>
      <c r="BB59" s="24" t="n"/>
      <c r="BC59" s="24" t="n"/>
      <c r="BD59" s="24" t="n"/>
      <c r="BE59" s="24">
        <f>IF(BB59&lt;&gt;"",BB59*BD59,0)</f>
        <v/>
      </c>
      <c r="BF59" s="24">
        <f>AV59-BE59</f>
        <v/>
      </c>
      <c r="BG59" s="24">
        <f>BF59*V59</f>
        <v/>
      </c>
      <c r="BH59" s="24">
        <f>BF59*S59*U59</f>
        <v/>
      </c>
      <c r="BI59" s="24">
        <f>IFERROR(BH59/AV59,0)</f>
        <v/>
      </c>
      <c r="BJ59" s="24">
        <f>IFERROR(BH59*Z59/1000,0)</f>
        <v/>
      </c>
      <c r="BK59" s="24">
        <f>BJ59*1.06</f>
        <v/>
      </c>
      <c r="BL59" s="24" t="n"/>
      <c r="BM59" s="24" t="n"/>
    </row>
    <row r="60" ht="11.65" customFormat="1" customHeight="1" s="12">
      <c r="A60" s="78" t="inlineStr">
        <is>
          <t>Panels</t>
        </is>
      </c>
      <c r="B60" s="30" t="n"/>
      <c r="C60" s="30" t="n">
        <v>325</v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24" t="n"/>
      <c r="Q60" s="24">
        <f>SUM(C60:P60)</f>
        <v/>
      </c>
      <c r="R60" s="24">
        <f>SUM(B60:P60)</f>
        <v/>
      </c>
      <c r="S60" s="30" t="n">
        <v>4</v>
      </c>
      <c r="T60" s="29" t="inlineStr">
        <is>
          <t>x</t>
        </is>
      </c>
      <c r="U60" s="24" t="n">
        <v>8</v>
      </c>
      <c r="V60" s="24" t="n"/>
      <c r="W60" s="29" t="inlineStr">
        <is>
          <t>15/32" PLY PT</t>
        </is>
      </c>
      <c r="X60" s="24" t="n"/>
      <c r="Y60" s="65">
        <f>R60*S60*U60</f>
        <v/>
      </c>
      <c r="Z60" s="69" t="n">
        <v>1055</v>
      </c>
      <c r="AA60" s="68">
        <f>(Y60*Z60)/1000</f>
        <v/>
      </c>
      <c r="AB60" s="170">
        <f>AA60*1.06</f>
        <v/>
      </c>
      <c r="AC60" s="24">
        <f>60126023</f>
        <v/>
      </c>
      <c r="AD60" s="24" t="n"/>
      <c r="AE60" s="103">
        <f>360</f>
        <v/>
      </c>
      <c r="AF60" s="24" t="n"/>
      <c r="AG60" s="74" t="n"/>
      <c r="AH60" s="24" t="n"/>
      <c r="AI60" s="24" t="n"/>
      <c r="AJ60" s="24" t="n"/>
      <c r="AK60" s="24" t="n"/>
      <c r="AL60" s="24" t="n"/>
      <c r="AM60" s="24" t="n"/>
      <c r="AN60" s="103" t="n"/>
      <c r="AO60" s="24" t="n"/>
      <c r="AP60" s="24" t="n"/>
      <c r="AQ60" s="24" t="n"/>
      <c r="AR60" s="24" t="n"/>
      <c r="AS60" s="24" t="n"/>
      <c r="AT60" s="24" t="n"/>
      <c r="AU60" s="24" t="n"/>
      <c r="AV60" s="24">
        <f>SUM(AD60:AP60)</f>
        <v/>
      </c>
      <c r="AW60" s="24">
        <f>AV60*V60</f>
        <v/>
      </c>
      <c r="AX60" s="24">
        <f>AV60*S60*U60</f>
        <v/>
      </c>
      <c r="AY60" s="7">
        <f>AX60*Z60/1000</f>
        <v/>
      </c>
      <c r="AZ60" s="23">
        <f>AY60*1.06</f>
        <v/>
      </c>
      <c r="BA60" s="22">
        <f>IFERROR(AY60/AA60,0)</f>
        <v/>
      </c>
      <c r="BB60" s="24" t="n"/>
      <c r="BC60" s="24" t="n"/>
      <c r="BD60" s="24" t="n"/>
      <c r="BE60" s="24">
        <f>IF(BB60&lt;&gt;"",BB60*BD60,0)</f>
        <v/>
      </c>
      <c r="BF60" s="24">
        <f>AV60-BE60</f>
        <v/>
      </c>
      <c r="BG60" s="24">
        <f>BF60*V60</f>
        <v/>
      </c>
      <c r="BH60" s="24">
        <f>BF60*S60*U60</f>
        <v/>
      </c>
      <c r="BI60" s="24">
        <f>IFERROR(BH60/AV60,0)</f>
        <v/>
      </c>
      <c r="BJ60" s="24">
        <f>IFERROR(BH60*Z60/1000,0)</f>
        <v/>
      </c>
      <c r="BK60" s="24">
        <f>BJ60*1.06</f>
        <v/>
      </c>
      <c r="BL60" s="24" t="n"/>
      <c r="BM60" s="24" t="n"/>
    </row>
    <row r="61" ht="46.5" customFormat="1" customHeight="1" s="12">
      <c r="A61" s="78" t="inlineStr">
        <is>
          <t>Panels</t>
        </is>
      </c>
      <c r="B61" s="30" t="n"/>
      <c r="C61" s="30" t="n">
        <v>981</v>
      </c>
      <c r="D61" s="30" t="n"/>
      <c r="E61" s="30" t="n"/>
      <c r="F61" s="30" t="n"/>
      <c r="G61" s="30" t="n"/>
      <c r="H61" s="30" t="n"/>
      <c r="I61" s="30" t="n"/>
      <c r="J61" s="30" t="n">
        <v>196</v>
      </c>
      <c r="K61" s="30" t="n"/>
      <c r="L61" s="30" t="n"/>
      <c r="M61" s="30" t="n">
        <v>56</v>
      </c>
      <c r="N61" s="30" t="n"/>
      <c r="O61" s="30" t="n"/>
      <c r="P61" s="24" t="n"/>
      <c r="Q61" s="24">
        <f>SUM(C61:P61)</f>
        <v/>
      </c>
      <c r="R61" s="24">
        <f>SUM(B61:P61)</f>
        <v/>
      </c>
      <c r="S61" s="30" t="n">
        <v>4</v>
      </c>
      <c r="T61" s="29" t="inlineStr">
        <is>
          <t>x</t>
        </is>
      </c>
      <c r="U61" s="24" t="n">
        <v>8</v>
      </c>
      <c r="V61" s="24" t="n"/>
      <c r="W61" s="29" t="inlineStr">
        <is>
          <t>19/32" PLY</t>
        </is>
      </c>
      <c r="X61" s="24" t="n"/>
      <c r="Y61" s="24">
        <f>R61*S61*U61</f>
        <v/>
      </c>
      <c r="Z61" s="62" t="n">
        <v>855</v>
      </c>
      <c r="AA61" s="7">
        <f>(Y61*Z61)/1000</f>
        <v/>
      </c>
      <c r="AB61" s="169">
        <f>AA61*1.06</f>
        <v/>
      </c>
      <c r="AC61" s="92" t="inlineStr">
        <is>
          <t>60126023
60126024
60126036
60126040</t>
        </is>
      </c>
      <c r="AD61" s="116" t="n"/>
      <c r="AE61" s="24">
        <f>87</f>
        <v/>
      </c>
      <c r="AF61" s="24" t="n"/>
      <c r="AG61" s="24" t="n"/>
      <c r="AH61" s="65">
        <f>754</f>
        <v/>
      </c>
      <c r="AI61" s="65" t="n"/>
      <c r="AJ61" s="65" t="n"/>
      <c r="AK61" s="65" t="n"/>
      <c r="AL61" s="65">
        <f>336</f>
        <v/>
      </c>
      <c r="AM61" s="65" t="n"/>
      <c r="AN61" s="24">
        <f>56</f>
        <v/>
      </c>
      <c r="AO61" s="24" t="n"/>
      <c r="AP61" s="24" t="n"/>
      <c r="AQ61" s="24" t="n"/>
      <c r="AR61" s="24" t="n"/>
      <c r="AS61" s="24" t="n"/>
      <c r="AT61" s="24" t="n"/>
      <c r="AU61" s="24" t="n"/>
      <c r="AV61" s="24">
        <f>SUM(AD61:AP61)</f>
        <v/>
      </c>
      <c r="AW61" s="24">
        <f>AV61*V61</f>
        <v/>
      </c>
      <c r="AX61" s="24">
        <f>AV61*S61*U61</f>
        <v/>
      </c>
      <c r="AY61" s="7">
        <f>AX61*Z61/1000</f>
        <v/>
      </c>
      <c r="AZ61" s="23">
        <f>AY61*1.06</f>
        <v/>
      </c>
      <c r="BA61" s="22">
        <f>IFERROR(AY61/AA61,0)</f>
        <v/>
      </c>
      <c r="BB61" s="24" t="n"/>
      <c r="BC61" s="24" t="n"/>
      <c r="BD61" s="24" t="n"/>
      <c r="BE61" s="24">
        <f>IF(BB61&lt;&gt;"",BB61*BD61,0)</f>
        <v/>
      </c>
      <c r="BF61" s="24">
        <f>AV61-BE61</f>
        <v/>
      </c>
      <c r="BG61" s="24">
        <f>BF61*V61</f>
        <v/>
      </c>
      <c r="BH61" s="24">
        <f>BF61*S61*U61</f>
        <v/>
      </c>
      <c r="BI61" s="24">
        <f>IFERROR(BH61/AV61,0)</f>
        <v/>
      </c>
      <c r="BJ61" s="24">
        <f>IFERROR(BH61*Z61/1000,0)</f>
        <v/>
      </c>
      <c r="BK61" s="24">
        <f>BJ61*1.06</f>
        <v/>
      </c>
      <c r="BL61" s="24" t="n"/>
      <c r="BM61" s="24" t="n"/>
    </row>
    <row r="62" ht="11.65" customFormat="1" customHeight="1" s="12">
      <c r="A62" s="78" t="inlineStr">
        <is>
          <t>Panels</t>
        </is>
      </c>
      <c r="B62" s="30" t="n">
        <v>917</v>
      </c>
      <c r="C62" s="30" t="n"/>
      <c r="D62" s="30" t="n">
        <v>-917</v>
      </c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24" t="n"/>
      <c r="Q62" s="24">
        <f>SUM(C62:P62)</f>
        <v/>
      </c>
      <c r="R62" s="24">
        <f>SUM(B62:P62)</f>
        <v/>
      </c>
      <c r="S62" s="30" t="n">
        <v>4</v>
      </c>
      <c r="T62" s="29" t="inlineStr">
        <is>
          <t>x</t>
        </is>
      </c>
      <c r="U62" s="24" t="n">
        <v>8</v>
      </c>
      <c r="V62" s="24" t="n"/>
      <c r="W62" s="29" t="inlineStr">
        <is>
          <t>23/32" OSB T&amp;G</t>
        </is>
      </c>
      <c r="X62" s="24" t="n"/>
      <c r="Y62" s="24">
        <f>R62*S62*U62</f>
        <v/>
      </c>
      <c r="Z62" s="62" t="n">
        <v>525</v>
      </c>
      <c r="AA62" s="7">
        <f>(Y62*Z62)/1000</f>
        <v/>
      </c>
      <c r="AB62" s="27">
        <f>AA62*1.06</f>
        <v/>
      </c>
      <c r="AC62" s="24" t="n"/>
      <c r="AD62" s="103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>
        <f>SUM(AD62:AP62)</f>
        <v/>
      </c>
      <c r="AW62" s="24">
        <f>AV62*V62</f>
        <v/>
      </c>
      <c r="AX62" s="24">
        <f>AV62*S62*U62</f>
        <v/>
      </c>
      <c r="AY62" s="7">
        <f>AX62*Z62/1000</f>
        <v/>
      </c>
      <c r="AZ62" s="23">
        <f>AY62*1.06</f>
        <v/>
      </c>
      <c r="BA62" s="22">
        <f>IFERROR(AY62/AA62,0)</f>
        <v/>
      </c>
      <c r="BB62" s="24" t="n"/>
      <c r="BC62" s="24" t="n"/>
      <c r="BD62" s="24" t="n"/>
      <c r="BE62" s="24">
        <f>IF(BB62&lt;&gt;"",BB62*BD62,0)</f>
        <v/>
      </c>
      <c r="BF62" s="24">
        <f>AV62-BE62</f>
        <v/>
      </c>
      <c r="BG62" s="24">
        <f>BF62*V62</f>
        <v/>
      </c>
      <c r="BH62" s="24">
        <f>BF62*S62*U62</f>
        <v/>
      </c>
      <c r="BI62" s="24">
        <f>IFERROR(BH62/AV62,0)</f>
        <v/>
      </c>
      <c r="BJ62" s="24">
        <f>IFERROR(BH62*Z62/1000,0)</f>
        <v/>
      </c>
      <c r="BK62" s="24">
        <f>BJ62*1.06</f>
        <v/>
      </c>
      <c r="BL62" s="24" t="n"/>
      <c r="BM62" s="24" t="n"/>
    </row>
    <row r="63" ht="11.65" customFormat="1" customHeight="1" s="12">
      <c r="A63" s="78" t="n"/>
      <c r="B63" s="30" t="n"/>
      <c r="C63" s="30" t="n"/>
      <c r="D63" s="30" t="n"/>
      <c r="E63" s="30" t="n"/>
      <c r="F63" s="30" t="n"/>
      <c r="G63" s="30" t="n"/>
      <c r="H63" s="30" t="n"/>
      <c r="I63" s="30">
        <f>50</f>
        <v/>
      </c>
      <c r="J63" s="30" t="n"/>
      <c r="K63" s="30" t="n"/>
      <c r="L63" s="30" t="n"/>
      <c r="M63" s="30" t="n"/>
      <c r="N63" s="30" t="n"/>
      <c r="O63" s="30" t="n"/>
      <c r="P63" s="24" t="n"/>
      <c r="Q63" s="24">
        <f>SUM(C63:P63)</f>
        <v/>
      </c>
      <c r="R63" s="24">
        <f>SUM(B63:P63)</f>
        <v/>
      </c>
      <c r="S63" s="30" t="n">
        <v>4</v>
      </c>
      <c r="T63" s="29" t="inlineStr">
        <is>
          <t>x</t>
        </is>
      </c>
      <c r="U63" s="24" t="n">
        <v>8</v>
      </c>
      <c r="V63" s="24" t="n"/>
      <c r="W63" s="29" t="inlineStr">
        <is>
          <t>23/32" OSB T&amp;G</t>
        </is>
      </c>
      <c r="X63" s="24" t="n"/>
      <c r="Y63" s="24">
        <f>R63*S63*U63</f>
        <v/>
      </c>
      <c r="Z63" s="62" t="n">
        <v>1285</v>
      </c>
      <c r="AA63" s="7">
        <f>(Y63*Z63)/1000</f>
        <v/>
      </c>
      <c r="AB63" s="143">
        <f>AA63*1.06</f>
        <v/>
      </c>
      <c r="AC63" s="65" t="n">
        <v>60126008</v>
      </c>
      <c r="AD63" s="24">
        <f>48</f>
        <v/>
      </c>
      <c r="AE63" s="24" t="n"/>
      <c r="AF63" s="24" t="n"/>
      <c r="AG63" s="24" t="n"/>
      <c r="AH63" s="24" t="n"/>
      <c r="AI63" s="24" t="n"/>
      <c r="AJ63" s="24" t="n"/>
      <c r="AK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>
        <f>SUM(AD63:AU63)</f>
        <v/>
      </c>
      <c r="AW63" s="24" t="n"/>
      <c r="AX63" s="24">
        <f>AV63*S63*U63</f>
        <v/>
      </c>
      <c r="AY63" s="7">
        <f>AX63*Z63/1000</f>
        <v/>
      </c>
      <c r="AZ63" s="23">
        <f>AY63*1.06</f>
        <v/>
      </c>
      <c r="BA63" s="22">
        <f>IFERROR(AY63/AA63,0)</f>
        <v/>
      </c>
      <c r="BL63" s="24" t="n"/>
      <c r="BM63" s="24" t="n"/>
    </row>
    <row r="64" ht="36" customFormat="1" customHeight="1" s="12">
      <c r="A64" s="78" t="inlineStr">
        <is>
          <t>Panels</t>
        </is>
      </c>
      <c r="B64" s="30" t="n"/>
      <c r="C64" s="30" t="n"/>
      <c r="D64" s="30" t="n">
        <v>917</v>
      </c>
      <c r="E64" s="30" t="n">
        <v>135</v>
      </c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24" t="n"/>
      <c r="Q64" s="24">
        <f>SUM(C64:P64)</f>
        <v/>
      </c>
      <c r="R64" s="24">
        <f>SUM(B64:P64)</f>
        <v/>
      </c>
      <c r="S64" s="30" t="n">
        <v>4</v>
      </c>
      <c r="T64" s="29" t="inlineStr">
        <is>
          <t>x</t>
        </is>
      </c>
      <c r="U64" s="24" t="n">
        <v>8</v>
      </c>
      <c r="V64" s="24" t="n"/>
      <c r="W64" s="29" t="inlineStr">
        <is>
          <t>23/32" OSB T&amp;G ADVANTECH</t>
        </is>
      </c>
      <c r="X64" s="24" t="n"/>
      <c r="Y64" s="24">
        <f>R64*S64*U64</f>
        <v/>
      </c>
      <c r="Z64" s="62" t="n">
        <v>1015</v>
      </c>
      <c r="AA64" s="7">
        <f>(Y64*Z64)/1000</f>
        <v/>
      </c>
      <c r="AB64" s="143">
        <f>AA64*1.06</f>
        <v/>
      </c>
      <c r="AC64" s="92" t="inlineStr">
        <is>
          <t>60126009
60126011
60126029</t>
        </is>
      </c>
      <c r="AD64" s="24">
        <f>585</f>
        <v/>
      </c>
      <c r="AE64" s="24">
        <f>585</f>
        <v/>
      </c>
      <c r="AF64" s="24" t="n"/>
      <c r="AG64" s="24" t="n"/>
      <c r="AH64" s="24" t="n"/>
      <c r="AI64" s="24">
        <f>135</f>
        <v/>
      </c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>
        <f>SUM(AD64:AP64)</f>
        <v/>
      </c>
      <c r="AW64" s="24">
        <f>AV64*V64</f>
        <v/>
      </c>
      <c r="AX64" s="24">
        <f>AV64*S64*U64</f>
        <v/>
      </c>
      <c r="AY64" s="7">
        <f>AX64*Z64/1000</f>
        <v/>
      </c>
      <c r="AZ64" s="23">
        <f>AY64*1.06</f>
        <v/>
      </c>
      <c r="BA64" s="22">
        <f>IFERROR(AY64/AA64,0)</f>
        <v/>
      </c>
      <c r="BB64" s="24" t="n"/>
      <c r="BC64" s="24" t="n"/>
      <c r="BD64" s="24" t="n"/>
      <c r="BE64" s="24">
        <f>IF(BB64&lt;&gt;"",BB64*BD64,0)</f>
        <v/>
      </c>
      <c r="BF64" s="24">
        <f>AV64-BE64</f>
        <v/>
      </c>
      <c r="BG64" s="24">
        <f>BF64*V64</f>
        <v/>
      </c>
      <c r="BH64" s="24">
        <f>BF64*S64*U64</f>
        <v/>
      </c>
      <c r="BI64" s="24">
        <f>IFERROR(BH64/AV64,0)</f>
        <v/>
      </c>
      <c r="BJ64" s="24">
        <f>IFERROR(BH64*Z64/1000,0)</f>
        <v/>
      </c>
      <c r="BK64" s="24">
        <f>BJ64*1.06</f>
        <v/>
      </c>
      <c r="BL64" s="24" t="n"/>
      <c r="BM64" s="24" t="n"/>
    </row>
    <row r="65" ht="11.65" customFormat="1" customHeight="1" s="12">
      <c r="A65" s="91" t="inlineStr">
        <is>
          <t>Panels</t>
        </is>
      </c>
      <c r="B65" s="354" t="n">
        <v>94</v>
      </c>
      <c r="C65" s="354" t="n"/>
      <c r="D65" s="354" t="n"/>
      <c r="E65" s="354" t="n"/>
      <c r="F65" s="354" t="n"/>
      <c r="G65" s="354" t="n"/>
      <c r="H65" s="354" t="n"/>
      <c r="I65" s="354" t="n"/>
      <c r="J65" s="354" t="n"/>
      <c r="K65" s="354" t="n"/>
      <c r="L65" s="354" t="n"/>
      <c r="M65" s="354" t="n"/>
      <c r="N65" s="354" t="n"/>
      <c r="O65" s="354" t="n"/>
      <c r="P65" s="34" t="n"/>
      <c r="Q65" s="34">
        <f>SUM(C65:P65)</f>
        <v/>
      </c>
      <c r="R65" s="34">
        <f>SUM(B65:P65)</f>
        <v/>
      </c>
      <c r="S65" s="354" t="n">
        <v>4</v>
      </c>
      <c r="T65" s="356" t="inlineStr">
        <is>
          <t>x</t>
        </is>
      </c>
      <c r="U65" s="34" t="n">
        <v>8</v>
      </c>
      <c r="V65" s="34" t="n"/>
      <c r="W65" s="356" t="inlineStr">
        <is>
          <t>23/32" OSB T&amp;G - PT</t>
        </is>
      </c>
      <c r="X65" s="34" t="n"/>
      <c r="Y65" s="34">
        <f>R65*S65*U65</f>
        <v/>
      </c>
      <c r="Z65" s="57" t="n">
        <v>1285</v>
      </c>
      <c r="AA65" s="14">
        <f>(Y65*Z65)/1000</f>
        <v/>
      </c>
      <c r="AB65" s="171">
        <f>AA65*1.06</f>
        <v/>
      </c>
      <c r="AC65" s="105" t="n">
        <v>60126034</v>
      </c>
      <c r="AE65" s="34" t="n"/>
      <c r="AF65" s="34" t="n"/>
      <c r="AG65" s="34" t="n"/>
      <c r="AH65" s="34" t="n"/>
      <c r="AI65" s="34" t="n"/>
      <c r="AJ65" s="34" t="n"/>
      <c r="AK65" s="34" t="n"/>
      <c r="AL65" s="34">
        <f>96</f>
        <v/>
      </c>
      <c r="AM65" s="34" t="n"/>
      <c r="AN65" s="34" t="n"/>
      <c r="AO65" s="34" t="n"/>
      <c r="AP65" s="34" t="n"/>
      <c r="AQ65" s="34" t="n"/>
      <c r="AR65" s="34" t="n"/>
      <c r="AS65" s="34" t="n"/>
      <c r="AT65" s="34" t="n"/>
      <c r="AU65" s="34" t="n"/>
      <c r="AV65" s="24">
        <f>SUM(AD65:AP65)</f>
        <v/>
      </c>
      <c r="AW65" s="34">
        <f>AV65*V65</f>
        <v/>
      </c>
      <c r="AX65" s="34">
        <f>AV65*S65*U65</f>
        <v/>
      </c>
      <c r="AY65" s="14">
        <f>AX65*Z65/1000</f>
        <v/>
      </c>
      <c r="AZ65" s="60">
        <f>AY65*1.06</f>
        <v/>
      </c>
      <c r="BA65" s="32">
        <f>IFERROR(AY65/AA65,0)</f>
        <v/>
      </c>
      <c r="BB65" s="34" t="n">
        <v>2</v>
      </c>
      <c r="BC65" s="34" t="n"/>
      <c r="BD65" s="34" t="n">
        <v>48</v>
      </c>
      <c r="BE65" s="34">
        <f>IF(BB65&lt;&gt;"",BB65*BD65,0)</f>
        <v/>
      </c>
      <c r="BF65" s="105">
        <f>AV65-BE65</f>
        <v/>
      </c>
      <c r="BG65" s="105">
        <f>BF65*V65</f>
        <v/>
      </c>
      <c r="BH65" s="105">
        <f>BF65*S65*U65</f>
        <v/>
      </c>
      <c r="BI65" s="172">
        <f>IFERROR(BH65/AV65,0)</f>
        <v/>
      </c>
      <c r="BJ65" s="173">
        <f>IFERROR(BH65*Z65/1000,0)</f>
        <v/>
      </c>
      <c r="BK65" s="173">
        <f>BJ65*1.06</f>
        <v/>
      </c>
      <c r="BL65" s="34" t="n"/>
      <c r="BM65" s="34" t="n"/>
    </row>
    <row r="66" ht="11.65" customFormat="1" customHeight="1" s="12">
      <c r="A66" s="78" t="inlineStr">
        <is>
          <t>Panels</t>
        </is>
      </c>
      <c r="B66" s="30" t="n">
        <v>165</v>
      </c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24" t="n"/>
      <c r="Q66" s="24">
        <f>SUM(C66:P66)</f>
        <v/>
      </c>
      <c r="R66" s="24">
        <f>SUM(B66:P66)</f>
        <v/>
      </c>
      <c r="S66" s="30" t="n">
        <v>4</v>
      </c>
      <c r="T66" s="29" t="inlineStr">
        <is>
          <t>x</t>
        </is>
      </c>
      <c r="U66" s="24" t="n">
        <v>8</v>
      </c>
      <c r="V66" s="24" t="n"/>
      <c r="W66" s="29" t="inlineStr">
        <is>
          <t>1/2" ZIP</t>
        </is>
      </c>
      <c r="X66" s="24" t="n"/>
      <c r="Y66" s="24">
        <f>R66*S66*U66</f>
        <v/>
      </c>
      <c r="Z66" s="62" t="n">
        <v>655</v>
      </c>
      <c r="AA66" s="7">
        <f>(Y66*Z66)/1000</f>
        <v/>
      </c>
      <c r="AB66" s="143">
        <f>AA66*1.06</f>
        <v/>
      </c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>
        <f>SUM(AD66:AP66)</f>
        <v/>
      </c>
      <c r="AW66" s="24">
        <f>AV66*V66</f>
        <v/>
      </c>
      <c r="AX66" s="24">
        <f>AV66*S66*U66</f>
        <v/>
      </c>
      <c r="AY66" s="7">
        <f>AX66*Z66/1000</f>
        <v/>
      </c>
      <c r="AZ66" s="23">
        <f>AY66*1.06</f>
        <v/>
      </c>
      <c r="BA66" s="22">
        <f>IFERROR(AY66/AA66,0)</f>
        <v/>
      </c>
      <c r="BB66" s="24" t="n"/>
      <c r="BC66" s="24" t="n"/>
      <c r="BD66" s="24" t="n"/>
      <c r="BE66" s="24">
        <f>IF(BB66&lt;&gt;"",BB66*BD66,0)</f>
        <v/>
      </c>
      <c r="BF66" s="24">
        <f>AV66-BE66</f>
        <v/>
      </c>
      <c r="BG66" s="24">
        <f>BF66*V66</f>
        <v/>
      </c>
      <c r="BH66" s="24">
        <f>BF66*S66*U66</f>
        <v/>
      </c>
      <c r="BI66" s="24">
        <f>IFERROR(BH66/AV66,0)</f>
        <v/>
      </c>
      <c r="BJ66" s="24">
        <f>IFERROR(BH66*Z66/1000,0)</f>
        <v/>
      </c>
      <c r="BK66" s="24">
        <f>BJ66*1.06</f>
        <v/>
      </c>
      <c r="BL66" s="24" t="n"/>
      <c r="BM66" s="24" t="n"/>
    </row>
    <row r="67" ht="34.9" customFormat="1" customHeight="1" s="12">
      <c r="A67" s="78" t="inlineStr">
        <is>
          <t>Panels</t>
        </is>
      </c>
      <c r="B67" s="30" t="n">
        <v>981</v>
      </c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24" t="n"/>
      <c r="Q67" s="24">
        <f>SUM(C67:P67)</f>
        <v/>
      </c>
      <c r="R67" s="24">
        <f>SUM(B67:P67)</f>
        <v/>
      </c>
      <c r="S67" s="30" t="n">
        <v>4</v>
      </c>
      <c r="T67" s="29" t="inlineStr">
        <is>
          <t>x</t>
        </is>
      </c>
      <c r="U67" s="24" t="n">
        <v>8</v>
      </c>
      <c r="V67" s="24" t="n"/>
      <c r="W67" s="29" t="inlineStr">
        <is>
          <t>15/32" PLY</t>
        </is>
      </c>
      <c r="X67" s="24" t="n"/>
      <c r="Y67" s="24">
        <f>R67*S67*U67</f>
        <v/>
      </c>
      <c r="Z67" s="62" t="n">
        <v>655</v>
      </c>
      <c r="AA67" s="7">
        <f>(Y67*Z67)/1000</f>
        <v/>
      </c>
      <c r="AB67" s="143">
        <f>AA67*1.06</f>
        <v/>
      </c>
      <c r="AC67" s="53" t="inlineStr">
        <is>
          <t>60126036
60126030
60126010</t>
        </is>
      </c>
      <c r="AD67" s="65" t="n">
        <v>1050</v>
      </c>
      <c r="AE67" s="24" t="n"/>
      <c r="AF67" s="24" t="n"/>
      <c r="AG67" s="24" t="n"/>
      <c r="AH67" s="24" t="n"/>
      <c r="AI67" s="65" t="n">
        <v>786</v>
      </c>
      <c r="AJ67" s="65" t="n"/>
      <c r="AK67" s="65" t="n"/>
      <c r="AL67" s="65" t="n">
        <v>140</v>
      </c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>
        <f>SUM(AD67:AP67)</f>
        <v/>
      </c>
      <c r="AW67" s="24">
        <f>AV67*V67</f>
        <v/>
      </c>
      <c r="AX67" s="24">
        <f>AV67*S67*U67</f>
        <v/>
      </c>
      <c r="AY67" s="7">
        <f>AX67*Z67/1000</f>
        <v/>
      </c>
      <c r="AZ67" s="23">
        <f>AY67*1.06</f>
        <v/>
      </c>
      <c r="BA67" s="22">
        <f>IFERROR(AY67/AA67,0)</f>
        <v/>
      </c>
      <c r="BB67" s="24" t="n"/>
      <c r="BC67" s="24" t="n"/>
      <c r="BD67" s="24" t="n"/>
      <c r="BE67" s="24">
        <f>IF(BB67&lt;&gt;"",BB67*BD67,0)</f>
        <v/>
      </c>
      <c r="BF67" s="24">
        <f>AV67-BE67</f>
        <v/>
      </c>
      <c r="BG67" s="24">
        <f>BF67*V67</f>
        <v/>
      </c>
      <c r="BH67" s="24">
        <f>BF67*S67*U67</f>
        <v/>
      </c>
      <c r="BI67" s="24">
        <f>IFERROR(BH67/AV67,0)</f>
        <v/>
      </c>
      <c r="BJ67" s="24">
        <f>IFERROR(BH67*Z67/1000,0)</f>
        <v/>
      </c>
      <c r="BK67" s="24">
        <f>BJ67*1.06</f>
        <v/>
      </c>
      <c r="BL67" s="24" t="n"/>
      <c r="BM67" s="24" t="n"/>
    </row>
    <row r="68" ht="11.65" customFormat="1" customHeight="1" s="12">
      <c r="A68" s="78" t="inlineStr">
        <is>
          <t>Panels</t>
        </is>
      </c>
      <c r="B68" s="30" t="n">
        <v>323</v>
      </c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24" t="n"/>
      <c r="Q68" s="24">
        <f>SUM(C68:P68)</f>
        <v/>
      </c>
      <c r="R68" s="24">
        <f>SUM(B68:P68)</f>
        <v/>
      </c>
      <c r="S68" s="30" t="n">
        <v>4</v>
      </c>
      <c r="T68" s="29" t="inlineStr">
        <is>
          <t>x</t>
        </is>
      </c>
      <c r="U68" s="24" t="n">
        <v>8</v>
      </c>
      <c r="V68" s="24" t="n"/>
      <c r="W68" s="29" t="inlineStr">
        <is>
          <t>1/2" GYPSUM</t>
        </is>
      </c>
      <c r="X68" s="24" t="n"/>
      <c r="Y68" s="24">
        <f>R68*S68*U68</f>
        <v/>
      </c>
      <c r="Z68" s="62" t="n">
        <v>565</v>
      </c>
      <c r="AA68" s="7">
        <f>(Y68*Z68)/1000</f>
        <v/>
      </c>
      <c r="AB68" s="143">
        <f>AA68*1.06</f>
        <v/>
      </c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>
        <f>SUM(AD68:AP68)</f>
        <v/>
      </c>
      <c r="AW68" s="24">
        <f>AV68*V68</f>
        <v/>
      </c>
      <c r="AX68" s="24">
        <f>AV68*S68*U68</f>
        <v/>
      </c>
      <c r="AY68" s="7">
        <f>AX68*Z68/1000</f>
        <v/>
      </c>
      <c r="AZ68" s="23">
        <f>AY68*1.06</f>
        <v/>
      </c>
      <c r="BA68" s="22">
        <f>IFERROR(AY68/AA68,0)</f>
        <v/>
      </c>
      <c r="BB68" s="24" t="n"/>
      <c r="BC68" s="24" t="n"/>
      <c r="BD68" s="24" t="n"/>
      <c r="BE68" s="24">
        <f>IF(BB68&lt;&gt;"",BB68*BD68,0)</f>
        <v/>
      </c>
      <c r="BF68" s="24">
        <f>AV68-BE68</f>
        <v/>
      </c>
      <c r="BG68" s="24">
        <f>BF68*V68</f>
        <v/>
      </c>
      <c r="BH68" s="24">
        <f>BF68*S68*U68</f>
        <v/>
      </c>
      <c r="BI68" s="24">
        <f>IFERROR(BH68/AV68,0)</f>
        <v/>
      </c>
      <c r="BJ68" s="24">
        <f>IFERROR(BH68*Z68/1000,0)</f>
        <v/>
      </c>
      <c r="BK68" s="24">
        <f>BJ68*1.06</f>
        <v/>
      </c>
      <c r="BL68" s="24" t="n"/>
      <c r="BM68" s="24" t="n"/>
    </row>
    <row r="69" ht="11.65" customFormat="1" customHeight="1" s="12">
      <c r="Z69" s="18" t="n"/>
      <c r="AA69" s="18" t="n"/>
      <c r="AB69" s="18" t="n"/>
      <c r="AZ69" s="11" t="n"/>
      <c r="BA69" s="90" t="n"/>
      <c r="BJ69" s="50">
        <f>SUM(BJ3:BJ68)</f>
        <v/>
      </c>
      <c r="BK69" s="50">
        <f>SUM(BK3:BK68)</f>
        <v/>
      </c>
    </row>
    <row r="70" ht="11.65" customFormat="1" customHeight="1" s="12">
      <c r="Z70" s="18" t="n"/>
      <c r="AA70" s="7" t="inlineStr">
        <is>
          <t>Total Cost</t>
        </is>
      </c>
      <c r="AB70" s="8">
        <f>SUM(AB3:AB68)</f>
        <v/>
      </c>
      <c r="AW70" s="324" t="inlineStr">
        <is>
          <t>Inventory sheet cost</t>
        </is>
      </c>
      <c r="AX70" s="360" t="n"/>
      <c r="AY70" s="16">
        <f>SUM(AY3:AY68)</f>
        <v/>
      </c>
      <c r="AZ70" s="174">
        <f>SUM(AZ3:AZ68)</f>
        <v/>
      </c>
      <c r="BA70" s="18" t="n"/>
      <c r="BB70" s="175" t="n"/>
    </row>
    <row r="71" ht="11.65" customFormat="1" customHeight="1" s="12">
      <c r="Z71" s="18" t="n"/>
      <c r="AA71" s="18" t="n"/>
      <c r="AB71" s="18" t="n"/>
      <c r="AZ71" s="11" t="n"/>
      <c r="BA71" s="90" t="n"/>
      <c r="BB71" s="175" t="n"/>
    </row>
    <row r="72" ht="11.65" customFormat="1" customHeight="1" s="12">
      <c r="Z72" s="18" t="n"/>
      <c r="AA72" s="18" t="n"/>
      <c r="AB72" s="18" t="n"/>
      <c r="AW72" s="324" t="inlineStr">
        <is>
          <t>Reconsiliation sheet</t>
        </is>
      </c>
      <c r="AX72" s="360" t="n"/>
      <c r="AY72" s="16" t="n">
        <v>363908.74</v>
      </c>
      <c r="AZ72" s="174" t="n">
        <v>385793.2644</v>
      </c>
      <c r="BA72" s="18" t="n"/>
      <c r="BB72" s="18" t="n"/>
    </row>
    <row r="73" ht="11.65" customFormat="1" customHeight="1" s="12">
      <c r="Z73" s="18" t="n"/>
      <c r="AA73" s="14" t="inlineStr">
        <is>
          <t>Total PO Cost</t>
        </is>
      </c>
      <c r="AB73" s="14">
        <f>317991.13</f>
        <v/>
      </c>
      <c r="AZ73" s="11" t="n"/>
      <c r="BA73" s="90" t="n"/>
      <c r="BB73" s="11" t="n"/>
    </row>
    <row r="74" ht="11.65" customFormat="1" customHeight="1" s="12">
      <c r="Z74" s="18" t="n"/>
      <c r="AA74" s="7" t="inlineStr">
        <is>
          <t>Total CO Cost</t>
        </is>
      </c>
      <c r="AB74" s="7">
        <f>'[2]VPO''s'!I740</f>
        <v/>
      </c>
      <c r="AW74" s="324" t="inlineStr">
        <is>
          <t>Difference</t>
        </is>
      </c>
      <c r="AX74" s="360" t="n"/>
      <c r="AY74" s="8">
        <f>AY70-AY72</f>
        <v/>
      </c>
      <c r="AZ74" s="8">
        <f>AZ70-AZ72</f>
        <v/>
      </c>
      <c r="BA74" s="90" t="n"/>
    </row>
    <row r="75" ht="11.65" customFormat="1" customHeight="1" s="12">
      <c r="Z75" s="18" t="n"/>
      <c r="AA75" s="7" t="inlineStr">
        <is>
          <t>Difference</t>
        </is>
      </c>
      <c r="AB75" s="6">
        <f>AB70-SUM(AB73:AB74)</f>
        <v/>
      </c>
      <c r="AZ75" s="11" t="n"/>
      <c r="BA75" s="90" t="n"/>
      <c r="BB75" s="18" t="n"/>
    </row>
    <row r="76" ht="13.15" customFormat="1" customHeight="1" s="12">
      <c r="Z76" s="18" t="n"/>
      <c r="AA76" s="18" t="n"/>
      <c r="AB76" s="18" t="n"/>
      <c r="AY76" s="4" t="n"/>
      <c r="AZ76" s="3">
        <f>-AZ74</f>
        <v/>
      </c>
      <c r="BA76" s="90" t="n"/>
    </row>
    <row r="77" ht="11.65" customFormat="1" customHeight="1" s="12">
      <c r="Z77" s="18" t="n"/>
      <c r="AA77" s="18" t="n"/>
      <c r="AB77" s="18" t="n"/>
      <c r="AZ77" s="11" t="n"/>
      <c r="BA77" s="90" t="n"/>
    </row>
    <row r="78" ht="13.15" customHeight="1">
      <c r="AY78" s="3" t="n"/>
    </row>
  </sheetData>
  <mergeCells count="61">
    <mergeCell ref="BL1:BL2"/>
    <mergeCell ref="AW70:AX70"/>
    <mergeCell ref="AB1:AB2"/>
    <mergeCell ref="U34:U35"/>
    <mergeCell ref="BM1:BM2"/>
    <mergeCell ref="W36:W37"/>
    <mergeCell ref="J1:J2"/>
    <mergeCell ref="AD1:AU1"/>
    <mergeCell ref="C1:C2"/>
    <mergeCell ref="E1:E2"/>
    <mergeCell ref="K1:K2"/>
    <mergeCell ref="V1:V2"/>
    <mergeCell ref="BE1:BE2"/>
    <mergeCell ref="U36:U37"/>
    <mergeCell ref="M1:M2"/>
    <mergeCell ref="BG1:BG2"/>
    <mergeCell ref="O1:O2"/>
    <mergeCell ref="Q1:Q2"/>
    <mergeCell ref="W1:W2"/>
    <mergeCell ref="Y1:Y2"/>
    <mergeCell ref="BB1:BB2"/>
    <mergeCell ref="BD1:BD2"/>
    <mergeCell ref="V34:V35"/>
    <mergeCell ref="B1:B2"/>
    <mergeCell ref="S34:S35"/>
    <mergeCell ref="L1:L2"/>
    <mergeCell ref="AC1:AC2"/>
    <mergeCell ref="H1:H2"/>
    <mergeCell ref="N1:N2"/>
    <mergeCell ref="T1:T2"/>
    <mergeCell ref="BH1:BH2"/>
    <mergeCell ref="AW1:AW2"/>
    <mergeCell ref="V36:V37"/>
    <mergeCell ref="AW74:AX74"/>
    <mergeCell ref="X1:X2"/>
    <mergeCell ref="AY1:AY2"/>
    <mergeCell ref="BI1:BI2"/>
    <mergeCell ref="G1:G2"/>
    <mergeCell ref="I1:I2"/>
    <mergeCell ref="Z1:Z2"/>
    <mergeCell ref="T34:T35"/>
    <mergeCell ref="S36:S37"/>
    <mergeCell ref="S1:S2"/>
    <mergeCell ref="BA1:BA2"/>
    <mergeCell ref="AV1:AV2"/>
    <mergeCell ref="U1:U2"/>
    <mergeCell ref="BC1:BC2"/>
    <mergeCell ref="AX1:AX2"/>
    <mergeCell ref="BK1:BK2"/>
    <mergeCell ref="AZ1:AZ2"/>
    <mergeCell ref="BF1:BF2"/>
    <mergeCell ref="AW72:AX72"/>
    <mergeCell ref="D1:D2"/>
    <mergeCell ref="R1:R2"/>
    <mergeCell ref="F1:F2"/>
    <mergeCell ref="T36:T37"/>
    <mergeCell ref="W34:W35"/>
    <mergeCell ref="AA1:AA2"/>
    <mergeCell ref="P1:P2"/>
    <mergeCell ref="BJ1:BJ2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Anjireddy Mummadi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2026-06-21T03:56:16Z</dcterms:modified>
  <cp:lastModifiedBy>AJ</cp:lastModifiedBy>
</cp:coreProperties>
</file>